
<file path=[Content_Types].xml><?xml version="1.0" encoding="utf-8"?>
<Types xmlns="http://schemas.openxmlformats.org/package/2006/content-types">
  <Default Extension="png" ContentType="image/p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 activeTab="2"/>
  </bookViews>
  <sheets>
    <sheet name="Contract" sheetId="1" r:id="rId1"/>
    <sheet name="Invoice" sheetId="2" r:id="rId2"/>
    <sheet name="Packing list" sheetId="3" r:id="rId3"/>
  </sheets>
  <definedNames>
    <definedName name="_xlnm._FilterDatabase" localSheetId="0" hidden="1">Contract!$A$3:$E$39</definedName>
    <definedName name="_xlnm._FilterDatabase" localSheetId="1" hidden="1">Invoice!$A$21:$O$21</definedName>
    <definedName name="_xlnm.Print_Area" localSheetId="0">Contract!$A$1:$E$49</definedName>
    <definedName name="_xlnm.Print_Area" localSheetId="1">Invoice!$A$1:$G$46</definedName>
    <definedName name="_xlnm.Print_Area" localSheetId="2">'Packing list'!$A$1:$I$68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<sst xmlns="http://schemas.openxmlformats.org/spreadsheetml/2006/main" count="230" uniqueCount="107">
  <si>
    <t>SALES CONTRACT</t>
  </si>
  <si>
    <t>DATE:</t>
  </si>
  <si>
    <t>CONTRACT NO.:</t>
  </si>
  <si>
    <t xml:space="preserve">The Seller:   </t>
  </si>
  <si>
    <t>CALIFOR UPHOLSTERY MATERIALS CO.,LTD.</t>
  </si>
  <si>
    <t>XIN BAVET SEZ, Road No. 316A, Trapeang Bon and  Prey Kokir  Villages, Prey Kokir  Commune, Chantrea District,</t>
  </si>
  <si>
    <t>Svay Rieng Province, Kingdom of Cambodia.</t>
  </si>
  <si>
    <t>TEL:</t>
  </si>
  <si>
    <t>+855   975910636</t>
  </si>
  <si>
    <t xml:space="preserve">The Buyer:  </t>
  </si>
  <si>
    <t>JASON FURNITURE VIET NAM COMPANY LIMITED</t>
  </si>
  <si>
    <t>LOT 37, 38, 39, 40, 41, 44, 50, 51, 54，55, 56，B2 CLUSTER, DONG XOAI III INDUSTRIAL ZONE,</t>
  </si>
  <si>
    <t>BINH PHUOC WARD, DONG NAI PROVINCE, VIETNAM</t>
  </si>
  <si>
    <t>Contact Person : Contact Person : Mr. Thuy   Tel: 0379367084</t>
  </si>
  <si>
    <t>EMAll:jyangbin4720@dingtalk.com jialy@kukahome.com dailin@kukahome.com huanggf@kukahome.com zhangzp@kukahome.com</t>
  </si>
  <si>
    <t>The undersigned Sellers 、Buyers and Beneficiary have agreed to close the  following transactions according to the terms and conditions Stipulated below:</t>
  </si>
  <si>
    <t>No.</t>
  </si>
  <si>
    <t>ITEM Nº</t>
  </si>
  <si>
    <t>Quantity(SF)</t>
  </si>
  <si>
    <t>Unit Price(USD)</t>
  </si>
  <si>
    <t>Total value(USD)</t>
  </si>
  <si>
    <t>01.10.U756061</t>
  </si>
  <si>
    <t>01.10.W783010</t>
  </si>
  <si>
    <t>01.10.U528073</t>
  </si>
  <si>
    <t>01.10.U528103</t>
  </si>
  <si>
    <t>01.10.W782023</t>
  </si>
  <si>
    <t>01.10.W782011</t>
  </si>
  <si>
    <t>01.10.W782033</t>
  </si>
  <si>
    <t>01.10.U562013-K</t>
  </si>
  <si>
    <t>TOTAL:</t>
  </si>
  <si>
    <t>FCA:</t>
  </si>
  <si>
    <t>BAVET, SVAY RIENG</t>
  </si>
  <si>
    <t>Term of Payment: 100% TT after shipment</t>
  </si>
  <si>
    <t>Transaction method: FCA(USD)</t>
  </si>
  <si>
    <t xml:space="preserve">Beneficiary bank information: </t>
  </si>
  <si>
    <t xml:space="preserve">Beneficiary Bank' s Name: </t>
  </si>
  <si>
    <t>BANK OF CHINA(HONG KONG)LIMITED PHNOM PENH BRANCH
 /BANK OF CHINA PHNOM PENH BRANCH</t>
  </si>
  <si>
    <t xml:space="preserve">Bank Address:  </t>
  </si>
  <si>
    <t>1st AND 2nd FLOOR,CANADIA TOWER,No.315 ANDDUONG ST.
PHNOM PEMH,CAMBODIA.</t>
  </si>
  <si>
    <t>Bank account :</t>
  </si>
  <si>
    <t>100001100764430</t>
  </si>
  <si>
    <t>SWIFT CODE  ：</t>
  </si>
  <si>
    <t>BKCHKHPPXXX</t>
  </si>
  <si>
    <t>The Buyer:</t>
  </si>
  <si>
    <t>The Seller:</t>
  </si>
  <si>
    <t>CALIFOR UPHOLSTERY MATERIALS CO., LTD.</t>
  </si>
  <si>
    <t xml:space="preserve"> XIN BAVET SEZ, Road No. 316A, Trapeang Bon and  Prey Kokir  Villages, Prey Kokir  Commune, Chantrea District, </t>
  </si>
  <si>
    <t>VAT:L001-901903209</t>
  </si>
  <si>
    <t>Tel: +855   975910636</t>
  </si>
  <si>
    <t>INVOICE</t>
  </si>
  <si>
    <t>Ref No.:</t>
  </si>
  <si>
    <t>EXPORTER:</t>
  </si>
  <si>
    <t>INVOICE NO :</t>
  </si>
  <si>
    <t xml:space="preserve">XIN BAVET SEZ, Road No. 316A, Trapeang Bon and Prey Kokir Villages, </t>
  </si>
  <si>
    <t>Date:</t>
  </si>
  <si>
    <t xml:space="preserve">Prey Kokir Commune, Chantrea District,Svay Rieng Province, Kingdom of Cambodia </t>
  </si>
  <si>
    <t>FCA :</t>
  </si>
  <si>
    <t>BAVET, SVAYRIENG</t>
  </si>
  <si>
    <t>CONSIGNEE :</t>
  </si>
  <si>
    <t>BINH PHUOC WARD,DONG NAI PROVINCE, VIETNAM</t>
  </si>
  <si>
    <t>Contact Person : Mr. Thuy   TEl: 0379367084</t>
  </si>
  <si>
    <t xml:space="preserve">EMAlL:jyangbin4720@dingtalk.com jialy@kukahome.com </t>
  </si>
  <si>
    <t>dailin@kukahome.com huanggf@kukahome.com zhangzp@kukahome.com</t>
  </si>
  <si>
    <t xml:space="preserve">SHIP: </t>
  </si>
  <si>
    <t>BY TRUCK FROM BAVET, SVAY RIENG, CAMBODIA TO DONG NAI PROVINCE, VIETNAM.</t>
  </si>
  <si>
    <t>Mark &amp; Nº</t>
  </si>
  <si>
    <t>P.O. Nº</t>
  </si>
  <si>
    <t>Description</t>
  </si>
  <si>
    <t>Unit price (USD)</t>
  </si>
  <si>
    <t>Amount (USD)</t>
  </si>
  <si>
    <t>VENDOR#:</t>
  </si>
  <si>
    <t>9000761021</t>
  </si>
  <si>
    <t>LEATHER</t>
  </si>
  <si>
    <t>Des: LEATHER</t>
  </si>
  <si>
    <t>9000845799</t>
  </si>
  <si>
    <t>MADE IN CAMBODIA</t>
  </si>
  <si>
    <t>9000837343</t>
  </si>
  <si>
    <t>9000827464</t>
  </si>
  <si>
    <t>9000840610</t>
  </si>
  <si>
    <t>9000822669</t>
  </si>
  <si>
    <t>9000804107</t>
  </si>
  <si>
    <t>9000824229</t>
  </si>
  <si>
    <t>9000852084</t>
  </si>
  <si>
    <t>21 PALLETS</t>
  </si>
  <si>
    <t>Country of Original Cambodia</t>
  </si>
  <si>
    <t>Manufacture:</t>
  </si>
  <si>
    <t>CALIFOR UPHOLSTERY MATERIALS CO., LTD.
XIN BAVET SEZ, Road No. 316A, Trapeang Bon and Prey Kokir Villages, Prey Kokir Commune, Chantrea District,Svay Rieng Province, Kingdom of Cambodia, Tel: +855   975910636</t>
  </si>
  <si>
    <t>BENEFICIARY BANK：BANK OF CHINA(HONG KONG)LIMITED PHNOM PENH BRANCH
                                                  /BANK OF CHINA PHNOM PENH BRANCH</t>
  </si>
  <si>
    <t>A/C NO:100001100764430</t>
  </si>
  <si>
    <t>SWIFT CODE  ：BKCHKHPPXXX</t>
  </si>
  <si>
    <t>Sign &amp; Stamp</t>
  </si>
  <si>
    <t>ZENG XUELI</t>
  </si>
  <si>
    <t>PACKING LIST</t>
  </si>
  <si>
    <t>CLF2025-382</t>
  </si>
  <si>
    <t>JF25058</t>
  </si>
  <si>
    <t>XIN BAVET SEZ, Road No. 316A, Trapeang Bon and Prey Kokir Villages,</t>
  </si>
  <si>
    <t>Prey Kokir Commune, Chantrea District,Svay Rieng Province, Kingdom of Cambodia</t>
  </si>
  <si>
    <t>EMAlL:jyangbin4720@dingtalk.com jialy@kukahome.com</t>
  </si>
  <si>
    <t>P.O Nº</t>
  </si>
  <si>
    <t>N.W (kgs)</t>
  </si>
  <si>
    <t>G.W (kgs)</t>
  </si>
  <si>
    <t>CBM</t>
  </si>
  <si>
    <t>PCS</t>
  </si>
  <si>
    <t>SF</t>
  </si>
  <si>
    <t>Case Qty:</t>
  </si>
  <si>
    <t>LEATHER (HS.CODE: 4107.12.00)</t>
  </si>
  <si>
    <t>BENEFICIARY BANK：BANK OF CHINA(HONG KONG)LIMITED  PHNOM PENH BRANCH
                                          /BANK OF CHINA PHNOM PENH BRANCH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</si>
</sst>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dd/mm/yyyy"/>
  </numFmts>
  <fonts count="53">
    <font>
      <sz val="11"/>
      <color theme="1"/>
      <name val="Calibri"/>
      <charset val="134"/>
      <scheme val="minor"/>
    </font>
    <font>
      <b/>
      <sz val="20"/>
      <color theme="1"/>
      <name val="Times New Roman"/>
      <charset val="134"/>
    </font>
    <font>
      <sz val="11"/>
      <color theme="1"/>
      <name val="Times New Roman"/>
      <charset val="134"/>
    </font>
    <font>
      <b/>
      <sz val="24"/>
      <color theme="1"/>
      <name val="Times New Roman"/>
      <charset val="134"/>
    </font>
    <font>
      <b/>
      <u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u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theme="1"/>
      <name val="Book Antiqua"/>
      <charset val="134"/>
    </font>
    <font>
      <b/>
      <sz val="11"/>
      <color rgb="FF000000"/>
      <name val="Times New Roman"/>
      <charset val="134"/>
    </font>
    <font>
      <sz val="10"/>
      <color theme="1"/>
      <name val="Book Antiqua"/>
      <charset val="134"/>
    </font>
    <font>
      <sz val="11"/>
      <color rgb="FF000000"/>
      <name val="Times New Roman"/>
      <charset val="134"/>
    </font>
    <font>
      <sz val="11"/>
      <color theme="1"/>
      <name val="Book Antiqua"/>
      <charset val="134"/>
    </font>
    <font>
      <b/>
      <sz val="11"/>
      <color theme="1"/>
      <name val="Calibri"/>
      <charset val="134"/>
      <scheme val="minor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theme="1"/>
      <name val="Calibri"/>
      <charset val="134"/>
      <scheme val="minor"/>
    </font>
    <font>
      <sz val="12"/>
      <name val="Calibri"/>
      <charset val="134"/>
    </font>
    <font>
      <sz val="11"/>
      <name val="Times New Roman"/>
      <charset val="134"/>
    </font>
    <font>
      <sz val="11"/>
      <name val="Calibri"/>
      <charset val="134"/>
      <scheme val="minor"/>
    </font>
    <font>
      <sz val="10"/>
      <color theme="1"/>
      <name val="Times New Roman"/>
      <charset val="134"/>
    </font>
    <font>
      <sz val="11"/>
      <name val="Calibri"/>
      <charset val="134"/>
    </font>
    <font>
      <sz val="17"/>
      <name val="Times New Roman"/>
      <charset val="134"/>
    </font>
    <font>
      <sz val="15"/>
      <name val="Times New Roman"/>
      <charset val="134"/>
    </font>
    <font>
      <sz val="20"/>
      <name val="Times New Roman"/>
      <charset val="134"/>
    </font>
    <font>
      <b/>
      <sz val="17"/>
      <name val="Times New Roman"/>
      <charset val="134"/>
    </font>
    <font>
      <b/>
      <sz val="16"/>
      <name val="Times New Roman"/>
      <charset val="134"/>
    </font>
    <font>
      <sz val="14"/>
      <name val="Times New Roman"/>
      <charset val="134"/>
    </font>
    <font>
      <b/>
      <sz val="15"/>
      <color theme="1"/>
      <name val="Times New Roman"/>
      <charset val="134"/>
    </font>
    <font>
      <sz val="15"/>
      <color theme="1"/>
      <name val="Times New Roman"/>
      <charset val="134"/>
    </font>
    <font>
      <sz val="16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32" fillId="0" borderId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5" borderId="16" applyNumberFormat="0" applyAlignment="0" applyProtection="0">
      <alignment vertical="center"/>
    </xf>
    <xf numFmtId="0" fontId="42" fillId="6" borderId="17" applyNumberFormat="0" applyAlignment="0" applyProtection="0">
      <alignment vertical="center"/>
    </xf>
    <xf numFmtId="0" fontId="43" fillId="6" borderId="16" applyNumberFormat="0" applyAlignment="0" applyProtection="0">
      <alignment vertical="center"/>
    </xf>
    <xf numFmtId="0" fontId="44" fillId="7" borderId="18" applyNumberFormat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2" fillId="0" borderId="0"/>
  </cellStyleXfs>
  <cellXfs count="129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49" fontId="8" fillId="0" borderId="0" xfId="0" applyNumberFormat="1" applyFont="1"/>
    <xf numFmtId="0" fontId="9" fillId="0" borderId="0" xfId="0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14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15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4" fontId="16" fillId="0" borderId="8" xfId="0" applyNumberFormat="1" applyFont="1" applyBorder="1" applyAlignment="1">
      <alignment horizontal="center" vertical="center"/>
    </xf>
    <xf numFmtId="4" fontId="16" fillId="0" borderId="7" xfId="0" applyNumberFormat="1" applyFont="1" applyBorder="1" applyAlignment="1">
      <alignment horizontal="center" vertical="center" wrapText="1"/>
    </xf>
    <xf numFmtId="4" fontId="16" fillId="0" borderId="7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top" wrapText="1"/>
    </xf>
    <xf numFmtId="0" fontId="17" fillId="0" borderId="9" xfId="0" applyFont="1" applyBorder="1"/>
    <xf numFmtId="0" fontId="16" fillId="2" borderId="9" xfId="0" applyFont="1" applyFill="1" applyBorder="1" applyAlignment="1">
      <alignment horizontal="left" vertical="top" wrapText="1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4" fontId="16" fillId="2" borderId="8" xfId="0" applyNumberFormat="1" applyFont="1" applyFill="1" applyBorder="1" applyAlignment="1">
      <alignment horizontal="center" vertical="center"/>
    </xf>
    <xf numFmtId="4" fontId="16" fillId="2" borderId="7" xfId="0" applyNumberFormat="1" applyFont="1" applyFill="1" applyBorder="1" applyAlignment="1">
      <alignment horizontal="center" vertical="center" wrapText="1"/>
    </xf>
    <xf numFmtId="4" fontId="16" fillId="2" borderId="7" xfId="0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3" fontId="16" fillId="0" borderId="3" xfId="0" applyNumberFormat="1" applyFont="1" applyBorder="1" applyAlignment="1">
      <alignment horizontal="center" vertical="center" wrapText="1"/>
    </xf>
    <xf numFmtId="4" fontId="16" fillId="0" borderId="3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top"/>
    </xf>
    <xf numFmtId="0" fontId="15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4" fontId="15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12" fillId="0" borderId="0" xfId="0" applyFont="1"/>
    <xf numFmtId="0" fontId="6" fillId="0" borderId="0" xfId="0" applyFont="1" applyAlignment="1">
      <alignment horizontal="left" vertical="center"/>
    </xf>
    <xf numFmtId="179" fontId="5" fillId="0" borderId="0" xfId="0" applyNumberFormat="1" applyFont="1" applyAlignment="1">
      <alignment horizontal="left" vertical="center"/>
    </xf>
    <xf numFmtId="4" fontId="2" fillId="0" borderId="0" xfId="2" applyNumberFormat="1" applyFont="1" applyAlignment="1">
      <alignment horizontal="left" vertical="center"/>
    </xf>
    <xf numFmtId="2" fontId="0" fillId="2" borderId="0" xfId="0" applyNumberFormat="1" applyFill="1"/>
    <xf numFmtId="2" fontId="16" fillId="0" borderId="3" xfId="0" applyNumberFormat="1" applyFont="1" applyBorder="1" applyAlignment="1">
      <alignment horizontal="center" vertical="center" wrapText="1"/>
    </xf>
    <xf numFmtId="2" fontId="15" fillId="0" borderId="3" xfId="0" applyNumberFormat="1" applyFont="1" applyBorder="1" applyAlignment="1">
      <alignment horizontal="center" vertical="center"/>
    </xf>
    <xf numFmtId="0" fontId="10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4" fontId="8" fillId="0" borderId="0" xfId="2" applyNumberFormat="1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49" fontId="8" fillId="0" borderId="0" xfId="0" applyNumberFormat="1" applyFont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4" fontId="19" fillId="0" borderId="7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4" fontId="20" fillId="0" borderId="8" xfId="0" applyNumberFormat="1" applyFont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4" fontId="20" fillId="2" borderId="8" xfId="0" applyNumberFormat="1" applyFont="1" applyFill="1" applyBorder="1" applyAlignment="1">
      <alignment horizontal="center" vertical="center"/>
    </xf>
    <xf numFmtId="4" fontId="2" fillId="0" borderId="0" xfId="0" applyNumberFormat="1" applyFont="1"/>
    <xf numFmtId="0" fontId="2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top" wrapText="1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horizontal="right" vertical="center" wrapText="1"/>
    </xf>
    <xf numFmtId="179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top" wrapText="1"/>
    </xf>
    <xf numFmtId="49" fontId="24" fillId="0" borderId="0" xfId="0" applyNumberFormat="1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top" wrapText="1"/>
    </xf>
    <xf numFmtId="0" fontId="27" fillId="0" borderId="3" xfId="0" applyFont="1" applyBorder="1" applyAlignment="1">
      <alignment horizontal="center" vertical="center" wrapText="1"/>
    </xf>
    <xf numFmtId="49" fontId="28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4" fontId="27" fillId="0" borderId="3" xfId="0" applyNumberFormat="1" applyFont="1" applyBorder="1" applyAlignment="1">
      <alignment horizontal="center" vertical="center"/>
    </xf>
    <xf numFmtId="4" fontId="29" fillId="0" borderId="0" xfId="49" applyNumberFormat="1" applyFont="1" applyAlignment="1">
      <alignment horizontal="left" vertical="center"/>
    </xf>
    <xf numFmtId="4" fontId="30" fillId="0" borderId="0" xfId="2" applyNumberFormat="1" applyFont="1" applyAlignment="1">
      <alignment horizontal="left" vertical="center"/>
    </xf>
    <xf numFmtId="49" fontId="24" fillId="0" borderId="0" xfId="0" applyNumberFormat="1" applyFont="1" applyAlignment="1">
      <alignment horizontal="left" vertical="top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top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top" wrapText="1"/>
    </xf>
    <xf numFmtId="0" fontId="31" fillId="0" borderId="0" xfId="0" applyFont="1" applyAlignment="1">
      <alignment horizontal="left" vertical="top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AMPEL 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1459230</xdr:colOff>
      <xdr:row>40</xdr:row>
      <xdr:rowOff>67310</xdr:rowOff>
    </xdr:from>
    <xdr:to>
      <xdr:col>4</xdr:col>
      <xdr:colOff>774065</xdr:colOff>
      <xdr:row>44</xdr:row>
      <xdr:rowOff>123825</xdr:rowOff>
    </xdr:to>
    <xdr:pic>
      <xdr:nvPicPr>
        <xdr:cNvPr id="2" name="图片 2" descr="微信图片_2023090613065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8580" y="16530320"/>
          <a:ext cx="1619885" cy="8185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443865</xdr:colOff>
      <xdr:row>39</xdr:row>
      <xdr:rowOff>89535</xdr:rowOff>
    </xdr:from>
    <xdr:to>
      <xdr:col>4</xdr:col>
      <xdr:colOff>146685</xdr:colOff>
      <xdr:row>45</xdr:row>
      <xdr:rowOff>109220</xdr:rowOff>
    </xdr:to>
    <xdr:pic>
      <xdr:nvPicPr>
        <xdr:cNvPr id="3" name="图片 1" descr="微信图片_2023090613065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73215" y="16362045"/>
          <a:ext cx="2007870" cy="116268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561340</xdr:colOff>
      <xdr:row>40</xdr:row>
      <xdr:rowOff>217805</xdr:rowOff>
    </xdr:from>
    <xdr:to>
      <xdr:col>6</xdr:col>
      <xdr:colOff>426085</xdr:colOff>
      <xdr:row>45</xdr:row>
      <xdr:rowOff>46990</xdr:rowOff>
    </xdr:to>
    <xdr:pic>
      <xdr:nvPicPr>
        <xdr:cNvPr id="2" name="图片 1" descr="微信图片_2023090613065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24015" y="16116935"/>
          <a:ext cx="2007870" cy="11626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285115</xdr:colOff>
      <xdr:row>41</xdr:row>
      <xdr:rowOff>141605</xdr:rowOff>
    </xdr:from>
    <xdr:to>
      <xdr:col>6</xdr:col>
      <xdr:colOff>809625</xdr:colOff>
      <xdr:row>44</xdr:row>
      <xdr:rowOff>160020</xdr:rowOff>
    </xdr:to>
    <xdr:pic>
      <xdr:nvPicPr>
        <xdr:cNvPr id="3" name="图片 2" descr="微信图片_2023090613065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95540" y="16307435"/>
          <a:ext cx="1619885" cy="8185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188595</xdr:colOff>
      <xdr:row>21</xdr:row>
      <xdr:rowOff>0</xdr:rowOff>
    </xdr:from>
    <xdr:to>
      <xdr:col>6</xdr:col>
      <xdr:colOff>198755</xdr:colOff>
      <xdr:row>21</xdr:row>
      <xdr:rowOff>137160</xdr:rowOff>
    </xdr:to>
    <xdr:pic>
      <xdr:nvPicPr>
        <xdr:cNvPr id="2" name="图片 36" descr="image[1]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21</xdr:row>
      <xdr:rowOff>0</xdr:rowOff>
    </xdr:from>
    <xdr:to>
      <xdr:col>6</xdr:col>
      <xdr:colOff>198755</xdr:colOff>
      <xdr:row>21</xdr:row>
      <xdr:rowOff>137160</xdr:rowOff>
    </xdr:to>
    <xdr:pic>
      <xdr:nvPicPr>
        <xdr:cNvPr id="3" name="图片 36" descr="image[1]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21</xdr:row>
      <xdr:rowOff>0</xdr:rowOff>
    </xdr:from>
    <xdr:to>
      <xdr:col>6</xdr:col>
      <xdr:colOff>198755</xdr:colOff>
      <xdr:row>21</xdr:row>
      <xdr:rowOff>137160</xdr:rowOff>
    </xdr:to>
    <xdr:pic>
      <xdr:nvPicPr>
        <xdr:cNvPr id="4" name="图片 36" descr="image[1]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57</xdr:row>
      <xdr:rowOff>0</xdr:rowOff>
    </xdr:from>
    <xdr:to>
      <xdr:col>6</xdr:col>
      <xdr:colOff>198755</xdr:colOff>
      <xdr:row>57</xdr:row>
      <xdr:rowOff>137160</xdr:rowOff>
    </xdr:to>
    <xdr:pic>
      <xdr:nvPicPr>
        <xdr:cNvPr id="5" name="图片 36" descr="image[1]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84870" y="192119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57</xdr:row>
      <xdr:rowOff>0</xdr:rowOff>
    </xdr:from>
    <xdr:to>
      <xdr:col>6</xdr:col>
      <xdr:colOff>198755</xdr:colOff>
      <xdr:row>57</xdr:row>
      <xdr:rowOff>137160</xdr:rowOff>
    </xdr:to>
    <xdr:pic>
      <xdr:nvPicPr>
        <xdr:cNvPr id="6" name="图片 36" descr="image[1]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84870" y="192119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57</xdr:row>
      <xdr:rowOff>0</xdr:rowOff>
    </xdr:from>
    <xdr:to>
      <xdr:col>6</xdr:col>
      <xdr:colOff>198755</xdr:colOff>
      <xdr:row>57</xdr:row>
      <xdr:rowOff>137160</xdr:rowOff>
    </xdr:to>
    <xdr:pic>
      <xdr:nvPicPr>
        <xdr:cNvPr id="7" name="图片 36" descr="image[1]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84870" y="192119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21</xdr:row>
      <xdr:rowOff>0</xdr:rowOff>
    </xdr:from>
    <xdr:to>
      <xdr:col>6</xdr:col>
      <xdr:colOff>198755</xdr:colOff>
      <xdr:row>21</xdr:row>
      <xdr:rowOff>137160</xdr:rowOff>
    </xdr:to>
    <xdr:pic>
      <xdr:nvPicPr>
        <xdr:cNvPr id="8" name="图片 36" descr="image[1]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21</xdr:row>
      <xdr:rowOff>0</xdr:rowOff>
    </xdr:from>
    <xdr:to>
      <xdr:col>6</xdr:col>
      <xdr:colOff>198755</xdr:colOff>
      <xdr:row>21</xdr:row>
      <xdr:rowOff>137160</xdr:rowOff>
    </xdr:to>
    <xdr:pic>
      <xdr:nvPicPr>
        <xdr:cNvPr id="9" name="图片 36" descr="image[1]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21</xdr:row>
      <xdr:rowOff>0</xdr:rowOff>
    </xdr:from>
    <xdr:to>
      <xdr:col>6</xdr:col>
      <xdr:colOff>198755</xdr:colOff>
      <xdr:row>21</xdr:row>
      <xdr:rowOff>137160</xdr:rowOff>
    </xdr:to>
    <xdr:pic>
      <xdr:nvPicPr>
        <xdr:cNvPr id="10" name="图片 36" descr="image[1]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361950</xdr:colOff>
      <xdr:row>63</xdr:row>
      <xdr:rowOff>17145</xdr:rowOff>
    </xdr:from>
    <xdr:to>
      <xdr:col>8</xdr:col>
      <xdr:colOff>29210</xdr:colOff>
      <xdr:row>67</xdr:row>
      <xdr:rowOff>73660</xdr:rowOff>
    </xdr:to>
    <xdr:pic>
      <xdr:nvPicPr>
        <xdr:cNvPr id="11" name="图片 2" descr="微信图片_2023090613065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21657945"/>
          <a:ext cx="1619885" cy="8185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532130</xdr:colOff>
      <xdr:row>62</xdr:row>
      <xdr:rowOff>47625</xdr:rowOff>
    </xdr:from>
    <xdr:to>
      <xdr:col>7</xdr:col>
      <xdr:colOff>597535</xdr:colOff>
      <xdr:row>68</xdr:row>
      <xdr:rowOff>75565</xdr:rowOff>
    </xdr:to>
    <xdr:pic>
      <xdr:nvPicPr>
        <xdr:cNvPr id="12" name="图片 1" descr="微信图片_2023090613065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28280" y="21497925"/>
          <a:ext cx="1979930" cy="11709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06"/>
  <sheetViews>
    <sheetView view="pageBreakPreview" zoomScale="85" zoomScaleNormal="100" topLeftCell="A25" workbookViewId="0">
      <selection activeCell="B34" sqref="B34"/>
    </sheetView>
  </sheetViews>
  <sheetFormatPr defaultColWidth="28.7142857142857" defaultRowHeight="15" outlineLevelCol="5"/>
  <cols>
    <col min="1" max="1" width="17.7142857142857" style="104" customWidth="1"/>
    <col min="2" max="2" width="33.1428571428571" style="104" customWidth="1"/>
    <col min="3" max="3" width="42.5714285714286" style="104" customWidth="1"/>
    <col min="4" max="4" width="34.5714285714286" style="104" customWidth="1"/>
    <col min="5" max="5" width="47.5714285714286" style="104" customWidth="1"/>
    <col min="6" max="7" width="28.7142857142857" style="104" customWidth="1"/>
    <col min="8" max="16384" width="28.7142857142857" style="104"/>
  </cols>
  <sheetData>
    <row r="1" ht="45.95" customHeight="1" spans="1:1">
      <c r="A1" s="105" t="s">
        <v>0</v>
      </c>
    </row>
    <row r="2" s="102" customFormat="1" ht="30" customHeight="1" spans="1:5">
      <c r="A2" s="106"/>
      <c r="B2" s="106"/>
      <c r="C2" s="106"/>
      <c r="D2" s="106"/>
      <c r="E2" s="106"/>
    </row>
    <row r="3" s="102" customFormat="1" ht="27" customHeight="1" spans="2:5">
      <c r="B3" s="107"/>
      <c r="C3" s="107"/>
      <c r="D3" s="108" t="s">
        <v>1</v>
      </c>
      <c r="E3" s="109">
        <f>Invoice!G9</f>
        <v>45994</v>
      </c>
    </row>
    <row r="4" s="102" customFormat="1" ht="30" customHeight="1" spans="1:5">
      <c r="A4" s="107"/>
      <c r="B4" s="107"/>
      <c r="C4" s="107"/>
      <c r="D4" s="108" t="s">
        <v>2</v>
      </c>
      <c r="E4" s="110" t="str">
        <f>Invoice!G8</f>
        <v>JF25058</v>
      </c>
    </row>
    <row r="5" s="103" customFormat="1" ht="32.1" customHeight="1" spans="1:2">
      <c r="A5" s="111" t="s">
        <v>3</v>
      </c>
      <c r="B5" s="103" t="s">
        <v>4</v>
      </c>
    </row>
    <row r="6" s="103" customFormat="1" ht="32.1" customHeight="1" spans="2:2">
      <c r="B6" s="103" t="s">
        <v>5</v>
      </c>
    </row>
    <row r="7" s="103" customFormat="1" ht="32.1" customHeight="1" spans="2:2">
      <c r="B7" s="103" t="s">
        <v>6</v>
      </c>
    </row>
    <row r="8" s="103" customFormat="1" ht="32.1" customHeight="1" spans="1:5">
      <c r="A8" s="111" t="s">
        <v>7</v>
      </c>
      <c r="B8" s="112" t="s">
        <v>8</v>
      </c>
      <c r="C8" s="113"/>
      <c r="D8" s="113"/>
      <c r="E8" s="113"/>
    </row>
    <row r="9" s="103" customFormat="1" ht="32.1" customHeight="1" spans="1:2">
      <c r="A9" s="111" t="s">
        <v>9</v>
      </c>
      <c r="B9" s="103" t="s">
        <v>10</v>
      </c>
    </row>
    <row r="10" s="103" customFormat="1" ht="45" customHeight="1" spans="1:2">
      <c r="A10" s="111"/>
      <c r="B10" s="114" t="s">
        <v>11</v>
      </c>
    </row>
    <row r="11" s="103" customFormat="1" ht="32.1" customHeight="1" spans="1:2">
      <c r="A11" s="111"/>
      <c r="B11" s="114" t="s">
        <v>12</v>
      </c>
    </row>
    <row r="12" s="103" customFormat="1" ht="30" customHeight="1" spans="1:5">
      <c r="A12" s="103" t="s">
        <v>13</v>
      </c>
      <c r="E12" s="111"/>
    </row>
    <row r="13" s="103" customFormat="1" ht="60.95" customHeight="1" spans="1:1">
      <c r="A13" s="115" t="s">
        <v>14</v>
      </c>
    </row>
    <row r="14" s="103" customFormat="1" ht="54.95" customHeight="1" spans="1:1">
      <c r="A14" s="116" t="s">
        <v>15</v>
      </c>
    </row>
    <row r="15" ht="36" customHeight="1" spans="1:5">
      <c r="A15" s="117" t="s">
        <v>16</v>
      </c>
      <c r="B15" s="117" t="s">
        <v>17</v>
      </c>
      <c r="C15" s="117" t="s">
        <v>18</v>
      </c>
      <c r="D15" s="117" t="s">
        <v>19</v>
      </c>
      <c r="E15" s="117" t="s">
        <v>20</v>
      </c>
    </row>
    <row r="16" ht="30" customHeight="1" spans="1:5">
      <c r="A16" s="118">
        <v>1</v>
      </c>
      <c r="B16" s="36" t="s">
        <v>21</v>
      </c>
      <c r="C16" s="41">
        <v>5994.2</v>
      </c>
      <c r="D16" s="52">
        <f>E16/C16</f>
        <v>1.24254479330019</v>
      </c>
      <c r="E16" s="41">
        <v>7448.062</v>
      </c>
    </row>
    <row r="17" s="103" customFormat="1" ht="30" customHeight="1" spans="1:5">
      <c r="A17" s="118">
        <v>2</v>
      </c>
      <c r="B17" s="36" t="s">
        <v>22</v>
      </c>
      <c r="C17" s="41">
        <v>25340.4</v>
      </c>
      <c r="D17" s="52">
        <f>E17/C17</f>
        <v>1.51</v>
      </c>
      <c r="E17" s="41">
        <v>38264.004</v>
      </c>
    </row>
    <row r="18" s="103" customFormat="1" ht="30" customHeight="1" spans="1:5">
      <c r="A18" s="118">
        <v>3</v>
      </c>
      <c r="B18" s="36" t="s">
        <v>23</v>
      </c>
      <c r="C18" s="41">
        <v>4849.8</v>
      </c>
      <c r="D18" s="52">
        <f>E18/C18</f>
        <v>1.24316095509093</v>
      </c>
      <c r="E18" s="41">
        <v>6029.082</v>
      </c>
    </row>
    <row r="19" s="103" customFormat="1" ht="30" customHeight="1" spans="1:5">
      <c r="A19" s="118">
        <v>4</v>
      </c>
      <c r="B19" s="36" t="s">
        <v>24</v>
      </c>
      <c r="C19" s="41">
        <v>29705.7</v>
      </c>
      <c r="D19" s="52">
        <f>E19/C19</f>
        <v>1.26751953328822</v>
      </c>
      <c r="E19" s="41">
        <v>37652.555</v>
      </c>
    </row>
    <row r="20" s="103" customFormat="1" ht="30" customHeight="1" spans="1:5">
      <c r="A20" s="118">
        <v>5</v>
      </c>
      <c r="B20" s="36" t="s">
        <v>22</v>
      </c>
      <c r="C20" s="41">
        <v>6619.4</v>
      </c>
      <c r="D20" s="52">
        <f>E20/C20</f>
        <v>1.50650119346164</v>
      </c>
      <c r="E20" s="41">
        <v>9972.134</v>
      </c>
    </row>
    <row r="21" s="103" customFormat="1" ht="30" customHeight="1" spans="1:5">
      <c r="A21" s="118">
        <v>6</v>
      </c>
      <c r="B21" s="36" t="s">
        <v>25</v>
      </c>
      <c r="C21" s="41">
        <v>12526.7</v>
      </c>
      <c r="D21" s="52">
        <f>E21/C21</f>
        <v>1.37155531784109</v>
      </c>
      <c r="E21" s="41">
        <v>17181.062</v>
      </c>
    </row>
    <row r="22" s="103" customFormat="1" ht="30" customHeight="1" spans="1:5">
      <c r="A22" s="118">
        <v>7</v>
      </c>
      <c r="B22" s="36" t="s">
        <v>25</v>
      </c>
      <c r="C22" s="41">
        <v>5531.5</v>
      </c>
      <c r="D22" s="52">
        <f>E22/C22</f>
        <v>1.37800054234837</v>
      </c>
      <c r="E22" s="41">
        <v>7622.41</v>
      </c>
    </row>
    <row r="23" s="103" customFormat="1" ht="30" customHeight="1" spans="1:5">
      <c r="A23" s="118">
        <v>8</v>
      </c>
      <c r="B23" s="36" t="s">
        <v>26</v>
      </c>
      <c r="C23" s="41">
        <v>15433.4</v>
      </c>
      <c r="D23" s="52">
        <f>E23/C23</f>
        <v>1.37964259333653</v>
      </c>
      <c r="E23" s="41">
        <v>21292.576</v>
      </c>
    </row>
    <row r="24" s="103" customFormat="1" ht="30" customHeight="1" spans="1:5">
      <c r="A24" s="118">
        <v>9</v>
      </c>
      <c r="B24" s="36" t="s">
        <v>27</v>
      </c>
      <c r="C24" s="41">
        <v>18657.4</v>
      </c>
      <c r="D24" s="52">
        <f>E24/C24</f>
        <v>1.3760778029093</v>
      </c>
      <c r="E24" s="41">
        <v>25674.034</v>
      </c>
    </row>
    <row r="25" s="103" customFormat="1" ht="30" customHeight="1" spans="1:5">
      <c r="A25" s="118">
        <v>10</v>
      </c>
      <c r="B25" s="36" t="s">
        <v>28</v>
      </c>
      <c r="C25" s="39">
        <v>6134.9</v>
      </c>
      <c r="D25" s="52">
        <f>E25/C25</f>
        <v>1.52</v>
      </c>
      <c r="E25" s="41">
        <v>9325.048</v>
      </c>
    </row>
    <row r="26" s="103" customFormat="1" ht="30" customHeight="1" spans="1:5">
      <c r="A26" s="118">
        <v>11</v>
      </c>
      <c r="B26" s="36" t="s">
        <v>28</v>
      </c>
      <c r="C26" s="41">
        <v>5443.7</v>
      </c>
      <c r="D26" s="52">
        <f>E26/C26</f>
        <v>1.48718224736852</v>
      </c>
      <c r="E26" s="41">
        <v>8095.774</v>
      </c>
    </row>
    <row r="27" s="103" customFormat="1" ht="30" customHeight="1" spans="1:5">
      <c r="A27" s="118">
        <v>12</v>
      </c>
      <c r="B27" s="45" t="s">
        <v>24</v>
      </c>
      <c r="C27" s="47">
        <v>2097.6</v>
      </c>
      <c r="D27" s="52">
        <f>E27/C27</f>
        <v>1.27</v>
      </c>
      <c r="E27" s="41">
        <v>2663.952</v>
      </c>
    </row>
    <row r="28" ht="36" customHeight="1" spans="1:5">
      <c r="A28" s="119" t="s">
        <v>29</v>
      </c>
      <c r="B28" s="33"/>
      <c r="C28" s="120">
        <f>SUM(C16:C27)</f>
        <v>138334.7</v>
      </c>
      <c r="D28" s="119"/>
      <c r="E28" s="120">
        <f>SUM(E16:E27)</f>
        <v>191220.693</v>
      </c>
    </row>
    <row r="29" ht="41.1" customHeight="1" spans="1:5">
      <c r="A29" s="121" t="s">
        <v>30</v>
      </c>
      <c r="B29" s="122" t="s">
        <v>31</v>
      </c>
      <c r="C29" s="111"/>
      <c r="D29" s="111"/>
      <c r="E29" s="111"/>
    </row>
    <row r="30" ht="29.1" customHeight="1" spans="1:5">
      <c r="A30" s="111" t="s">
        <v>32</v>
      </c>
      <c r="B30" s="111"/>
      <c r="C30" s="111"/>
      <c r="D30" s="111"/>
      <c r="E30" s="111"/>
    </row>
    <row r="31" ht="19.15" customHeight="1" spans="1:5">
      <c r="A31" s="111" t="s">
        <v>33</v>
      </c>
      <c r="B31" s="111"/>
      <c r="C31" s="111"/>
      <c r="D31" s="111"/>
      <c r="E31" s="111"/>
    </row>
    <row r="32" ht="45.95" customHeight="1" spans="1:5">
      <c r="A32" s="111" t="s">
        <v>34</v>
      </c>
      <c r="B32" s="111"/>
      <c r="C32" s="111" t="s">
        <v>4</v>
      </c>
      <c r="D32" s="111"/>
      <c r="E32" s="111"/>
    </row>
    <row r="33" ht="45.95" customHeight="1" spans="1:3">
      <c r="A33" s="111" t="s">
        <v>35</v>
      </c>
      <c r="B33" s="111"/>
      <c r="C33" s="116" t="s">
        <v>36</v>
      </c>
    </row>
    <row r="34" ht="41.1" customHeight="1" spans="1:3">
      <c r="A34" s="111" t="s">
        <v>37</v>
      </c>
      <c r="B34" s="111"/>
      <c r="C34" s="116" t="s">
        <v>38</v>
      </c>
    </row>
    <row r="35" ht="29.1" customHeight="1" spans="1:3">
      <c r="A35" s="111" t="s">
        <v>39</v>
      </c>
      <c r="B35" s="111"/>
      <c r="C35" s="123" t="s">
        <v>40</v>
      </c>
    </row>
    <row r="36" ht="19.15" customHeight="1" spans="1:5">
      <c r="A36" s="111" t="s">
        <v>41</v>
      </c>
      <c r="B36" s="111"/>
      <c r="C36" s="111" t="s">
        <v>42</v>
      </c>
      <c r="D36" s="111"/>
      <c r="E36" s="111"/>
    </row>
    <row r="37" ht="21" customHeight="1" spans="1:6">
      <c r="A37" s="111"/>
      <c r="B37" s="111"/>
      <c r="C37" s="111"/>
      <c r="D37" s="111"/>
      <c r="E37" s="111"/>
      <c r="F37" s="111"/>
    </row>
    <row r="38" ht="21" customHeight="1" spans="1:4">
      <c r="A38" s="124" t="s">
        <v>43</v>
      </c>
      <c r="D38" s="125" t="s">
        <v>44</v>
      </c>
    </row>
    <row r="39" ht="20.25" spans="1:5">
      <c r="A39" s="126" t="s">
        <v>10</v>
      </c>
      <c r="B39" s="127"/>
      <c r="C39" s="128"/>
      <c r="D39" s="126" t="s">
        <v>4</v>
      </c>
      <c r="E39" s="126"/>
    </row>
    <row r="195" ht="27.95" customHeight="1"/>
    <row r="206" ht="27.95" customHeight="1"/>
  </sheetData>
  <autoFilter xmlns:etc="http://www.wps.cn/officeDocument/2017/etCustomData" ref="A3:E39" etc:filterBottomFollowUsedRange="0">
    <extLst/>
  </autoFilter>
  <mergeCells count="10">
    <mergeCell ref="A1:E1"/>
    <mergeCell ref="B10:E10"/>
    <mergeCell ref="B11:E11"/>
    <mergeCell ref="A13:E13"/>
    <mergeCell ref="A14:E14"/>
    <mergeCell ref="A28:B28"/>
    <mergeCell ref="C33:E33"/>
    <mergeCell ref="C34:E34"/>
    <mergeCell ref="C35:E35"/>
    <mergeCell ref="A206:B206"/>
  </mergeCells>
  <printOptions horizontalCentered="1"/>
  <pageMargins left="0.1" right="0.1" top="0.75" bottom="0.75" header="0.5" footer="0.5"/>
  <pageSetup paperSize="9" scale="43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60"/>
  <sheetViews>
    <sheetView view="pageBreakPreview" zoomScaleNormal="85" topLeftCell="A7" workbookViewId="0">
      <selection activeCell="F36" sqref="F36"/>
    </sheetView>
  </sheetViews>
  <sheetFormatPr defaultColWidth="7.14285714285714" defaultRowHeight="15"/>
  <cols>
    <col min="1" max="1" width="24.2857142857143" customWidth="1"/>
    <col min="2" max="2" width="28.1428571428571" customWidth="1"/>
    <col min="3" max="3" width="21.7142857142857" customWidth="1"/>
    <col min="4" max="4" width="18.2857142857143" customWidth="1"/>
    <col min="5" max="5" width="15.7142857142857" customWidth="1"/>
    <col min="6" max="6" width="16.4285714285714" customWidth="1"/>
    <col min="7" max="7" width="24.8571428571429" style="3" customWidth="1"/>
    <col min="8" max="8" width="25.1428571428571" customWidth="1"/>
    <col min="9" max="9" width="15.5714285714286" customWidth="1"/>
    <col min="10" max="10" width="10.2857142857143" customWidth="1"/>
    <col min="12" max="12" width="12.4285714285714" customWidth="1"/>
  </cols>
  <sheetData>
    <row r="1" ht="38.25" customHeight="1" spans="1:1">
      <c r="A1" s="5" t="s">
        <v>45</v>
      </c>
    </row>
    <row r="2" ht="24" customHeight="1" spans="1:1">
      <c r="A2" s="6" t="s">
        <v>46</v>
      </c>
    </row>
    <row r="3" ht="17.25" customHeight="1" spans="1:1">
      <c r="A3" s="7" t="s">
        <v>6</v>
      </c>
    </row>
    <row r="4" ht="17.25" customHeight="1" spans="1:1">
      <c r="A4" s="6" t="s">
        <v>47</v>
      </c>
    </row>
    <row r="5" ht="25.5" customHeight="1" spans="1:7">
      <c r="A5" s="8" t="s">
        <v>48</v>
      </c>
      <c r="B5" s="9"/>
      <c r="C5" s="9"/>
      <c r="D5" s="9"/>
      <c r="E5" s="9"/>
      <c r="F5" s="9"/>
      <c r="G5" s="9"/>
    </row>
    <row r="6" ht="83.25" customHeight="1" spans="1:7">
      <c r="A6" s="10" t="s">
        <v>49</v>
      </c>
      <c r="B6" s="11"/>
      <c r="C6" s="11"/>
      <c r="D6" s="11"/>
      <c r="E6" s="11"/>
      <c r="F6" s="11"/>
      <c r="G6" s="11"/>
    </row>
    <row r="7" ht="14.25" customHeight="1" spans="1:7">
      <c r="A7" s="12"/>
      <c r="B7" s="12"/>
      <c r="C7" s="12"/>
      <c r="D7" s="12"/>
      <c r="E7" s="12"/>
      <c r="F7" s="14" t="s">
        <v>50</v>
      </c>
      <c r="G7" s="72" t="str">
        <f>'Packing list'!I7</f>
        <v>CLF2025-382</v>
      </c>
    </row>
    <row r="8" ht="30" customHeight="1" spans="1:7">
      <c r="A8" s="15" t="s">
        <v>51</v>
      </c>
      <c r="B8" s="73" t="s">
        <v>45</v>
      </c>
      <c r="E8" s="73"/>
      <c r="F8" s="17" t="s">
        <v>52</v>
      </c>
      <c r="G8" s="74" t="str">
        <f>'Packing list'!I8</f>
        <v>JF25058</v>
      </c>
    </row>
    <row r="9" ht="21" customHeight="1" spans="1:7">
      <c r="A9" s="12"/>
      <c r="B9" s="12" t="s">
        <v>53</v>
      </c>
      <c r="E9" s="12"/>
      <c r="F9" s="17" t="s">
        <v>54</v>
      </c>
      <c r="G9" s="67">
        <f>'Packing list'!I9</f>
        <v>45994</v>
      </c>
    </row>
    <row r="10" ht="22.5" customHeight="1" spans="1:7">
      <c r="A10" s="12"/>
      <c r="B10" s="12" t="s">
        <v>55</v>
      </c>
      <c r="E10" s="12"/>
      <c r="F10" s="18" t="s">
        <v>56</v>
      </c>
      <c r="G10" s="75" t="s">
        <v>57</v>
      </c>
    </row>
    <row r="11" ht="20.25" customHeight="1" spans="1:7">
      <c r="A11" s="12"/>
      <c r="B11" s="12" t="s">
        <v>48</v>
      </c>
      <c r="E11" s="12"/>
      <c r="F11" s="12"/>
      <c r="G11" s="6"/>
    </row>
    <row r="12" ht="15.75" customHeight="1" spans="1:7">
      <c r="A12" s="12"/>
      <c r="B12" s="12"/>
      <c r="C12" s="12"/>
      <c r="D12" s="12"/>
      <c r="E12" s="12"/>
      <c r="F12" s="12"/>
      <c r="G12" s="6"/>
    </row>
    <row r="13" ht="25.5" customHeight="1" spans="1:7">
      <c r="A13" s="19" t="s">
        <v>58</v>
      </c>
      <c r="B13" s="76" t="s">
        <v>10</v>
      </c>
      <c r="E13" s="77"/>
      <c r="F13" s="77"/>
      <c r="G13" s="27"/>
    </row>
    <row r="14" ht="25.5" customHeight="1" spans="1:6">
      <c r="A14" s="12"/>
      <c r="B14" s="78" t="s">
        <v>11</v>
      </c>
      <c r="C14" s="23"/>
      <c r="D14" s="23"/>
      <c r="E14" s="23"/>
      <c r="F14" s="23"/>
    </row>
    <row r="15" ht="25.5" customHeight="1" spans="1:6">
      <c r="A15" s="12"/>
      <c r="B15" s="28" t="s">
        <v>59</v>
      </c>
      <c r="C15" s="26"/>
      <c r="D15" s="26"/>
      <c r="E15" s="26"/>
      <c r="F15" s="27"/>
    </row>
    <row r="16" ht="25.5" customHeight="1" spans="1:6">
      <c r="A16" s="12"/>
      <c r="B16" s="64" t="s">
        <v>60</v>
      </c>
      <c r="C16" s="26"/>
      <c r="D16" s="26"/>
      <c r="E16" s="26"/>
      <c r="F16" s="26"/>
    </row>
    <row r="17" ht="25.5" customHeight="1" spans="1:6">
      <c r="A17" s="12"/>
      <c r="B17" s="64" t="s">
        <v>61</v>
      </c>
      <c r="C17" s="26"/>
      <c r="D17" s="26"/>
      <c r="E17" s="26"/>
      <c r="F17" s="27"/>
    </row>
    <row r="18" ht="25.5" customHeight="1" spans="1:6">
      <c r="A18" s="12"/>
      <c r="B18" s="64" t="s">
        <v>62</v>
      </c>
      <c r="C18" s="12"/>
      <c r="D18" s="12"/>
      <c r="E18" s="12"/>
      <c r="F18" s="6"/>
    </row>
    <row r="19" ht="27.75" customHeight="1" spans="1:6">
      <c r="A19" s="29" t="s">
        <v>63</v>
      </c>
      <c r="B19" s="12" t="s">
        <v>64</v>
      </c>
      <c r="F19" s="3"/>
    </row>
    <row r="20" ht="27.75" customHeight="1" spans="1:2">
      <c r="A20" s="30"/>
      <c r="B20" s="30"/>
    </row>
    <row r="21" ht="35.1" customHeight="1" spans="1:7">
      <c r="A21" s="32" t="s">
        <v>65</v>
      </c>
      <c r="B21" s="32" t="s">
        <v>66</v>
      </c>
      <c r="C21" s="32" t="s">
        <v>17</v>
      </c>
      <c r="D21" s="32" t="s">
        <v>67</v>
      </c>
      <c r="E21" s="32" t="s">
        <v>18</v>
      </c>
      <c r="F21" s="32" t="s">
        <v>68</v>
      </c>
      <c r="G21" s="32" t="s">
        <v>69</v>
      </c>
    </row>
    <row r="22" ht="35.1" customHeight="1" spans="1:7">
      <c r="A22" s="79" t="s">
        <v>70</v>
      </c>
      <c r="B22" s="80" t="s">
        <v>71</v>
      </c>
      <c r="C22" s="80" t="s">
        <v>21</v>
      </c>
      <c r="D22" s="81" t="s">
        <v>72</v>
      </c>
      <c r="E22" s="82">
        <v>5994.2</v>
      </c>
      <c r="F22" s="82">
        <f>G22/E22</f>
        <v>1.24254479330019</v>
      </c>
      <c r="G22" s="82">
        <v>7448.062</v>
      </c>
    </row>
    <row r="23" ht="35.1" customHeight="1" spans="1:7">
      <c r="A23" s="83" t="s">
        <v>73</v>
      </c>
      <c r="B23" s="80" t="s">
        <v>74</v>
      </c>
      <c r="C23" s="80" t="s">
        <v>22</v>
      </c>
      <c r="D23" s="84"/>
      <c r="E23" s="82">
        <v>25340.4</v>
      </c>
      <c r="F23" s="82">
        <f>G23/E23</f>
        <v>1.51</v>
      </c>
      <c r="G23" s="82">
        <v>38264.004</v>
      </c>
    </row>
    <row r="24" ht="35.1" customHeight="1" spans="1:7">
      <c r="A24" s="83" t="s">
        <v>75</v>
      </c>
      <c r="B24" s="80">
        <v>9000845799</v>
      </c>
      <c r="C24" s="80" t="s">
        <v>23</v>
      </c>
      <c r="D24" s="84"/>
      <c r="E24" s="82">
        <v>4849.8</v>
      </c>
      <c r="F24" s="82">
        <f>G24/E24</f>
        <v>1.24316095509093</v>
      </c>
      <c r="G24" s="82">
        <v>6029.082</v>
      </c>
    </row>
    <row r="25" ht="35.1" customHeight="1" spans="1:7">
      <c r="A25" s="85"/>
      <c r="B25" s="80">
        <v>9000845799</v>
      </c>
      <c r="C25" s="80" t="s">
        <v>24</v>
      </c>
      <c r="D25" s="84"/>
      <c r="E25" s="82">
        <v>29705.7</v>
      </c>
      <c r="F25" s="82">
        <f>G25/E25</f>
        <v>1.26751953328822</v>
      </c>
      <c r="G25" s="82">
        <v>37652.555</v>
      </c>
    </row>
    <row r="26" ht="35.1" customHeight="1" spans="1:7">
      <c r="A26" s="85"/>
      <c r="B26" s="80" t="s">
        <v>76</v>
      </c>
      <c r="C26" s="80" t="s">
        <v>22</v>
      </c>
      <c r="D26" s="84"/>
      <c r="E26" s="82">
        <v>6619.4</v>
      </c>
      <c r="F26" s="82">
        <f>G26/E26</f>
        <v>1.50650119346164</v>
      </c>
      <c r="G26" s="82">
        <v>9972.134</v>
      </c>
    </row>
    <row r="27" ht="35.1" customHeight="1" spans="1:7">
      <c r="A27" s="85"/>
      <c r="B27" s="80" t="s">
        <v>77</v>
      </c>
      <c r="C27" s="80" t="s">
        <v>25</v>
      </c>
      <c r="D27" s="84"/>
      <c r="E27" s="82">
        <v>12526.7</v>
      </c>
      <c r="F27" s="82">
        <f>G27/E27</f>
        <v>1.37155531784109</v>
      </c>
      <c r="G27" s="82">
        <v>17181.062</v>
      </c>
    </row>
    <row r="28" ht="35.1" customHeight="1" spans="1:7">
      <c r="A28" s="85"/>
      <c r="B28" s="80" t="s">
        <v>78</v>
      </c>
      <c r="C28" s="80" t="s">
        <v>25</v>
      </c>
      <c r="D28" s="84"/>
      <c r="E28" s="82">
        <v>5531.5</v>
      </c>
      <c r="F28" s="82">
        <f>G28/E28</f>
        <v>1.37800054234837</v>
      </c>
      <c r="G28" s="82">
        <v>7622.41</v>
      </c>
    </row>
    <row r="29" ht="35.1" customHeight="1" spans="1:7">
      <c r="A29" s="85"/>
      <c r="B29" s="80" t="s">
        <v>79</v>
      </c>
      <c r="C29" s="80" t="s">
        <v>26</v>
      </c>
      <c r="D29" s="84"/>
      <c r="E29" s="82">
        <v>15433.4</v>
      </c>
      <c r="F29" s="82">
        <f>G29/E29</f>
        <v>1.37964259333653</v>
      </c>
      <c r="G29" s="82">
        <v>21292.576</v>
      </c>
    </row>
    <row r="30" ht="35.1" customHeight="1" spans="1:7">
      <c r="A30" s="85"/>
      <c r="B30" s="80" t="s">
        <v>80</v>
      </c>
      <c r="C30" s="80" t="s">
        <v>27</v>
      </c>
      <c r="D30" s="84"/>
      <c r="E30" s="82">
        <v>18657.4</v>
      </c>
      <c r="F30" s="82">
        <f>G30/E30</f>
        <v>1.3760778029093</v>
      </c>
      <c r="G30" s="82">
        <v>25674.034</v>
      </c>
    </row>
    <row r="31" ht="35.1" customHeight="1" spans="1:7">
      <c r="A31" s="85"/>
      <c r="B31" s="80" t="s">
        <v>81</v>
      </c>
      <c r="C31" s="80" t="s">
        <v>28</v>
      </c>
      <c r="D31" s="84"/>
      <c r="E31" s="86">
        <v>6134.9</v>
      </c>
      <c r="F31" s="82">
        <f>G31/E31</f>
        <v>1.52</v>
      </c>
      <c r="G31" s="82">
        <v>9325.048</v>
      </c>
    </row>
    <row r="32" ht="35.1" customHeight="1" spans="1:7">
      <c r="A32" s="85"/>
      <c r="B32" s="80" t="s">
        <v>82</v>
      </c>
      <c r="C32" s="80" t="s">
        <v>28</v>
      </c>
      <c r="D32" s="84"/>
      <c r="E32" s="82">
        <v>5443.7</v>
      </c>
      <c r="F32" s="82">
        <f>G32/E32</f>
        <v>1.48718224736852</v>
      </c>
      <c r="G32" s="82">
        <v>8095.774</v>
      </c>
    </row>
    <row r="33" ht="35.1" customHeight="1" spans="1:7">
      <c r="A33" s="85"/>
      <c r="B33" s="87">
        <v>9000846054</v>
      </c>
      <c r="C33" s="87" t="s">
        <v>24</v>
      </c>
      <c r="D33" s="84"/>
      <c r="E33" s="88">
        <v>2097.6</v>
      </c>
      <c r="F33" s="82">
        <f>G33/E33</f>
        <v>1.27</v>
      </c>
      <c r="G33" s="82">
        <v>2663.952</v>
      </c>
    </row>
    <row r="34" ht="35.1" customHeight="1" spans="1:7">
      <c r="A34" s="54"/>
      <c r="B34" s="54" t="s">
        <v>29</v>
      </c>
      <c r="C34" s="54" t="s">
        <v>83</v>
      </c>
      <c r="D34" s="54"/>
      <c r="E34" s="56">
        <f>SUM(E22:E33)</f>
        <v>138334.7</v>
      </c>
      <c r="F34" s="54"/>
      <c r="G34" s="56">
        <f>SUM(G22:G33)</f>
        <v>191220.693</v>
      </c>
    </row>
    <row r="35" ht="42" customHeight="1" spans="1:15">
      <c r="A35" s="58" t="s">
        <v>84</v>
      </c>
      <c r="D35" s="58"/>
      <c r="E35" s="12"/>
      <c r="F35" s="89"/>
      <c r="G35" s="6"/>
      <c r="L35" s="99"/>
      <c r="M35" s="100"/>
      <c r="N35" s="101"/>
      <c r="O35" s="101"/>
    </row>
    <row r="36" ht="61.5" customHeight="1" spans="1:15">
      <c r="A36" s="60" t="s">
        <v>85</v>
      </c>
      <c r="B36" s="90" t="s">
        <v>86</v>
      </c>
      <c r="D36" s="90"/>
      <c r="E36" s="90"/>
      <c r="F36" s="12"/>
      <c r="G36" s="6"/>
      <c r="L36" s="99"/>
      <c r="M36" s="100"/>
      <c r="N36" s="101"/>
      <c r="O36" s="101"/>
    </row>
    <row r="37" ht="42" customHeight="1" spans="1:15">
      <c r="A37" s="91" t="s">
        <v>87</v>
      </c>
      <c r="D37" s="91"/>
      <c r="E37" s="91"/>
      <c r="F37" s="91"/>
      <c r="G37" s="6"/>
      <c r="L37" s="99"/>
      <c r="M37" s="100"/>
      <c r="N37" s="101"/>
      <c r="O37" s="101"/>
    </row>
    <row r="38" ht="24.75" customHeight="1" spans="1:15">
      <c r="A38" s="63" t="s">
        <v>88</v>
      </c>
      <c r="L38" s="99"/>
      <c r="M38" s="100"/>
      <c r="N38" s="101"/>
      <c r="O38" s="101"/>
    </row>
    <row r="39" ht="27" customHeight="1" spans="1:15">
      <c r="A39" s="63" t="s">
        <v>89</v>
      </c>
      <c r="L39" s="99"/>
      <c r="M39" s="100"/>
      <c r="N39" s="101"/>
      <c r="O39" s="101"/>
    </row>
    <row r="40" ht="25.5" customHeight="1" spans="5:15">
      <c r="E40" s="92" t="s">
        <v>45</v>
      </c>
      <c r="F40" s="92"/>
      <c r="G40" s="92"/>
      <c r="H40" s="92"/>
      <c r="L40" s="99"/>
      <c r="M40" s="100"/>
      <c r="N40" s="101"/>
      <c r="O40" s="101"/>
    </row>
    <row r="41" ht="21" customHeight="1" spans="4:15">
      <c r="D41" s="1"/>
      <c r="E41" s="93"/>
      <c r="F41" s="94" t="s">
        <v>90</v>
      </c>
      <c r="G41" s="95"/>
      <c r="L41" s="99"/>
      <c r="M41" s="100"/>
      <c r="N41" s="101"/>
      <c r="O41" s="101"/>
    </row>
    <row r="42" ht="21" customHeight="1" spans="4:15">
      <c r="D42" s="1"/>
      <c r="E42" s="93"/>
      <c r="F42" s="93"/>
      <c r="G42" s="95"/>
      <c r="L42" s="99"/>
      <c r="M42" s="100"/>
      <c r="N42" s="101"/>
      <c r="O42" s="101"/>
    </row>
    <row r="43" ht="21" customHeight="1" spans="4:15">
      <c r="D43" s="1"/>
      <c r="E43" s="93"/>
      <c r="F43" s="93"/>
      <c r="G43" s="95"/>
      <c r="L43" s="99"/>
      <c r="M43" s="100"/>
      <c r="N43" s="101"/>
      <c r="O43" s="101"/>
    </row>
    <row r="44" ht="21" customHeight="1" spans="4:15">
      <c r="D44" s="1"/>
      <c r="E44" s="93"/>
      <c r="F44" s="93"/>
      <c r="G44" s="95"/>
      <c r="L44" s="99"/>
      <c r="M44" s="100"/>
      <c r="N44" s="101"/>
      <c r="O44" s="101"/>
    </row>
    <row r="45" ht="21" customHeight="1" spans="4:15">
      <c r="D45" s="1"/>
      <c r="E45" s="93"/>
      <c r="F45" s="93"/>
      <c r="G45" s="95"/>
      <c r="L45" s="99"/>
      <c r="M45" s="100"/>
      <c r="N45" s="101"/>
      <c r="O45" s="101"/>
    </row>
    <row r="46" ht="21" customHeight="1" spans="4:15">
      <c r="D46" s="1"/>
      <c r="E46" s="93"/>
      <c r="F46" s="96" t="s">
        <v>91</v>
      </c>
      <c r="G46" s="96"/>
      <c r="L46" s="99"/>
      <c r="M46" s="100"/>
      <c r="N46" s="101"/>
      <c r="O46" s="101"/>
    </row>
    <row r="47" ht="21" customHeight="1" spans="4:7">
      <c r="D47" s="97"/>
      <c r="E47" s="97"/>
      <c r="F47" s="97"/>
      <c r="G47" s="98"/>
    </row>
    <row r="48" ht="17.25" customHeight="1" spans="4:7">
      <c r="D48" s="97"/>
      <c r="E48" s="97"/>
      <c r="F48" s="97"/>
      <c r="G48" s="98"/>
    </row>
    <row r="60" customHeight="1"/>
  </sheetData>
  <mergeCells count="12">
    <mergeCell ref="A1:G1"/>
    <mergeCell ref="A2:G2"/>
    <mergeCell ref="A3:G3"/>
    <mergeCell ref="A4:G4"/>
    <mergeCell ref="A5:G5"/>
    <mergeCell ref="A6:G6"/>
    <mergeCell ref="A35:C35"/>
    <mergeCell ref="B36:C36"/>
    <mergeCell ref="A37:C37"/>
    <mergeCell ref="A38:G38"/>
    <mergeCell ref="A39:G39"/>
    <mergeCell ref="D22:D33"/>
  </mergeCells>
  <conditionalFormatting sqref="J23:J33">
    <cfRule type="duplicateValues" priority="3" stopIfTrue="1"/>
    <cfRule type="uniqueValues" priority="4" stopIfTrue="1"/>
  </conditionalFormatting>
  <printOptions horizontalCentered="1"/>
  <pageMargins left="0.1" right="0.1" top="0.75" bottom="0.75" header="0.5" footer="0.5"/>
  <pageSetup paperSize="9" scale="49" orientation="portrait"/>
  <headerFooter/>
  <ignoredErrors>
    <ignoredError sqref="B22:B33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85"/>
  <sheetViews>
    <sheetView tabSelected="1" view="pageBreakPreview" zoomScale="82" zoomScaleNormal="70" topLeftCell="A36" workbookViewId="0">
      <selection activeCell="G52" sqref="G52"/>
    </sheetView>
  </sheetViews>
  <sheetFormatPr defaultColWidth="7.14285714285714" defaultRowHeight="15"/>
  <cols>
    <col min="1" max="1" width="25.4285714285714" customWidth="1"/>
    <col min="2" max="2" width="22.8571428571429" style="2" customWidth="1"/>
    <col min="3" max="3" width="19.4285714285714" customWidth="1"/>
    <col min="4" max="4" width="26.7142857142857" customWidth="1"/>
    <col min="5" max="6" width="15" style="3" customWidth="1"/>
    <col min="7" max="7" width="13.7142857142857" style="3" customWidth="1"/>
    <col min="8" max="8" width="15.5714285714286" style="3" customWidth="1"/>
    <col min="9" max="9" width="23.7142857142857" style="3" customWidth="1"/>
    <col min="10" max="10" width="12.4285714285714" style="4" customWidth="1"/>
    <col min="11" max="11" width="12.8571428571429" customWidth="1"/>
    <col min="12" max="12" width="12.5714285714286" customWidth="1"/>
    <col min="14" max="14" width="12.5714285714286" customWidth="1"/>
    <col min="16" max="16" width="12.5714285714286" customWidth="1"/>
  </cols>
  <sheetData>
    <row r="1" ht="38.25" customHeight="1" spans="1:1">
      <c r="A1" s="5" t="s">
        <v>45</v>
      </c>
    </row>
    <row r="2" ht="24" customHeight="1" spans="1:1">
      <c r="A2" s="6" t="s">
        <v>46</v>
      </c>
    </row>
    <row r="3" ht="25.5" customHeight="1" spans="1:1">
      <c r="A3" s="7" t="s">
        <v>6</v>
      </c>
    </row>
    <row r="4" ht="25.5" customHeight="1" spans="1:1">
      <c r="A4" s="6" t="s">
        <v>47</v>
      </c>
    </row>
    <row r="5" ht="25.5" customHeight="1" spans="1:9">
      <c r="A5" s="8" t="s">
        <v>48</v>
      </c>
      <c r="B5" s="9"/>
      <c r="C5" s="9"/>
      <c r="D5" s="9"/>
      <c r="E5" s="9"/>
      <c r="F5" s="9"/>
      <c r="G5" s="9"/>
      <c r="H5" s="9"/>
      <c r="I5" s="9"/>
    </row>
    <row r="6" ht="54" customHeight="1" spans="1:9">
      <c r="A6" s="10" t="s">
        <v>92</v>
      </c>
      <c r="B6" s="11"/>
      <c r="C6" s="11"/>
      <c r="D6" s="11"/>
      <c r="E6" s="11"/>
      <c r="F6" s="11"/>
      <c r="G6" s="11"/>
      <c r="H6" s="11"/>
      <c r="I6" s="11"/>
    </row>
    <row r="7" ht="18" customHeight="1" spans="1:9">
      <c r="A7" s="12"/>
      <c r="B7" s="13"/>
      <c r="C7" s="12"/>
      <c r="D7" s="12"/>
      <c r="E7" s="6"/>
      <c r="F7" s="6"/>
      <c r="G7" s="6"/>
      <c r="H7" s="14" t="s">
        <v>50</v>
      </c>
      <c r="I7" s="65" t="s">
        <v>93</v>
      </c>
    </row>
    <row r="8" ht="30" customHeight="1" spans="1:9">
      <c r="A8" s="15" t="s">
        <v>51</v>
      </c>
      <c r="B8" s="16" t="s">
        <v>45</v>
      </c>
      <c r="F8" s="17"/>
      <c r="G8" s="17"/>
      <c r="H8" s="17" t="s">
        <v>52</v>
      </c>
      <c r="I8" s="66" t="s">
        <v>94</v>
      </c>
    </row>
    <row r="9" ht="21" customHeight="1" spans="1:9">
      <c r="A9" s="12"/>
      <c r="B9" s="13" t="s">
        <v>95</v>
      </c>
      <c r="F9" s="6"/>
      <c r="G9" s="6"/>
      <c r="H9" s="17" t="s">
        <v>54</v>
      </c>
      <c r="I9" s="67">
        <v>45994</v>
      </c>
    </row>
    <row r="10" ht="22.5" customHeight="1" spans="1:9">
      <c r="A10" s="12"/>
      <c r="B10" s="13" t="s">
        <v>96</v>
      </c>
      <c r="F10" s="6"/>
      <c r="G10" s="6"/>
      <c r="H10" s="18" t="s">
        <v>56</v>
      </c>
      <c r="I10" s="68" t="s">
        <v>31</v>
      </c>
    </row>
    <row r="11" ht="20.25" customHeight="1" spans="1:9">
      <c r="A11" s="12"/>
      <c r="B11" s="13" t="s">
        <v>48</v>
      </c>
      <c r="F11" s="6"/>
      <c r="G11" s="6"/>
      <c r="H11" s="6"/>
      <c r="I11" s="6"/>
    </row>
    <row r="12" ht="15.75" customHeight="1" spans="1:9">
      <c r="A12" s="12"/>
      <c r="B12" s="13"/>
      <c r="C12" s="12"/>
      <c r="D12" s="12"/>
      <c r="E12" s="6"/>
      <c r="F12" s="6"/>
      <c r="G12" s="6"/>
      <c r="H12" s="6"/>
      <c r="I12" s="6"/>
    </row>
    <row r="13" ht="25.5" customHeight="1" spans="1:9">
      <c r="A13" s="19" t="s">
        <v>58</v>
      </c>
      <c r="B13" s="20" t="s">
        <v>10</v>
      </c>
      <c r="F13" s="21"/>
      <c r="G13" s="21"/>
      <c r="H13" s="21"/>
      <c r="I13" s="27"/>
    </row>
    <row r="14" ht="25.5" customHeight="1" spans="1:8">
      <c r="A14" s="12"/>
      <c r="B14" s="22" t="s">
        <v>11</v>
      </c>
      <c r="C14" s="23"/>
      <c r="D14" s="23"/>
      <c r="E14" s="24"/>
      <c r="F14" s="24"/>
      <c r="G14" s="24"/>
      <c r="H14" s="24"/>
    </row>
    <row r="15" ht="21" customHeight="1" spans="1:8">
      <c r="A15" s="12"/>
      <c r="B15" s="25" t="s">
        <v>59</v>
      </c>
      <c r="C15" s="26"/>
      <c r="D15" s="26"/>
      <c r="E15" s="27"/>
      <c r="F15" s="27"/>
      <c r="G15" s="27"/>
      <c r="H15" s="27"/>
    </row>
    <row r="16" ht="21" customHeight="1" spans="1:8">
      <c r="A16" s="12"/>
      <c r="B16" s="28" t="s">
        <v>60</v>
      </c>
      <c r="C16" s="26"/>
      <c r="D16" s="26"/>
      <c r="E16" s="27"/>
      <c r="F16" s="27"/>
      <c r="G16" s="27"/>
      <c r="H16" s="27"/>
    </row>
    <row r="17" ht="21" customHeight="1" spans="1:8">
      <c r="A17" s="12"/>
      <c r="B17" s="28" t="s">
        <v>97</v>
      </c>
      <c r="C17" s="26"/>
      <c r="D17" s="26"/>
      <c r="E17" s="27"/>
      <c r="F17" s="27"/>
      <c r="G17" s="27"/>
      <c r="H17" s="27"/>
    </row>
    <row r="18" ht="21" customHeight="1" spans="1:8">
      <c r="A18" s="12"/>
      <c r="B18" s="28" t="s">
        <v>62</v>
      </c>
      <c r="C18" s="12"/>
      <c r="D18" s="12"/>
      <c r="E18" s="6"/>
      <c r="F18" s="6"/>
      <c r="G18" s="6"/>
      <c r="H18" s="6"/>
    </row>
    <row r="19" ht="27.75" customHeight="1" spans="1:2">
      <c r="A19" s="29" t="s">
        <v>63</v>
      </c>
      <c r="B19" s="13" t="s">
        <v>64</v>
      </c>
    </row>
    <row r="20" ht="27.75" customHeight="1" spans="1:2">
      <c r="A20" s="30"/>
      <c r="B20" s="31"/>
    </row>
    <row r="21" ht="27" customHeight="1" spans="1:9">
      <c r="A21" s="32" t="s">
        <v>65</v>
      </c>
      <c r="B21" s="32" t="s">
        <v>98</v>
      </c>
      <c r="C21" s="32" t="s">
        <v>17</v>
      </c>
      <c r="D21" s="32" t="s">
        <v>67</v>
      </c>
      <c r="E21" s="32" t="s">
        <v>18</v>
      </c>
      <c r="F21" s="33"/>
      <c r="G21" s="32" t="s">
        <v>99</v>
      </c>
      <c r="H21" s="32" t="s">
        <v>100</v>
      </c>
      <c r="I21" s="32" t="s">
        <v>101</v>
      </c>
    </row>
    <row r="22" ht="27" customHeight="1" spans="1:9">
      <c r="A22" s="34"/>
      <c r="B22" s="34"/>
      <c r="C22" s="34"/>
      <c r="D22" s="34"/>
      <c r="E22" s="32" t="s">
        <v>102</v>
      </c>
      <c r="F22" s="32" t="s">
        <v>103</v>
      </c>
      <c r="G22" s="34"/>
      <c r="H22" s="34"/>
      <c r="I22" s="34"/>
    </row>
    <row r="23" ht="27" customHeight="1" spans="1:9">
      <c r="A23" s="35" t="s">
        <v>70</v>
      </c>
      <c r="B23" s="36" t="s">
        <v>71</v>
      </c>
      <c r="C23" s="36" t="s">
        <v>21</v>
      </c>
      <c r="D23" s="37" t="s">
        <v>72</v>
      </c>
      <c r="E23" s="38">
        <v>113</v>
      </c>
      <c r="F23" s="39">
        <v>5699.5</v>
      </c>
      <c r="G23" s="40">
        <v>481.6625</v>
      </c>
      <c r="H23" s="41">
        <v>524.0375</v>
      </c>
      <c r="I23" s="39">
        <v>1.8645</v>
      </c>
    </row>
    <row r="24" ht="27" customHeight="1" spans="1:9">
      <c r="A24" s="42" t="s">
        <v>73</v>
      </c>
      <c r="B24" s="36" t="s">
        <v>71</v>
      </c>
      <c r="C24" s="36" t="s">
        <v>21</v>
      </c>
      <c r="D24" s="43"/>
      <c r="E24" s="38">
        <v>4</v>
      </c>
      <c r="F24" s="39">
        <v>161.5</v>
      </c>
      <c r="G24" s="40">
        <v>17.05</v>
      </c>
      <c r="H24" s="41">
        <v>18.55</v>
      </c>
      <c r="I24" s="39">
        <v>0.066</v>
      </c>
    </row>
    <row r="25" ht="27" customHeight="1" spans="1:9">
      <c r="A25" s="42" t="s">
        <v>104</v>
      </c>
      <c r="B25" s="36" t="s">
        <v>71</v>
      </c>
      <c r="C25" s="36" t="s">
        <v>21</v>
      </c>
      <c r="D25" s="43"/>
      <c r="E25" s="38">
        <v>3</v>
      </c>
      <c r="F25" s="39">
        <v>133.2</v>
      </c>
      <c r="G25" s="40">
        <v>12.7875</v>
      </c>
      <c r="H25" s="41">
        <v>13.9125</v>
      </c>
      <c r="I25" s="39">
        <v>0.0495</v>
      </c>
    </row>
    <row r="26" ht="27" customHeight="1" spans="1:9">
      <c r="A26" s="42" t="s">
        <v>75</v>
      </c>
      <c r="B26" s="36" t="s">
        <v>74</v>
      </c>
      <c r="C26" s="36" t="s">
        <v>22</v>
      </c>
      <c r="D26" s="43"/>
      <c r="E26" s="38">
        <v>95</v>
      </c>
      <c r="F26" s="39">
        <v>5069.3</v>
      </c>
      <c r="G26" s="40">
        <v>513.5</v>
      </c>
      <c r="H26" s="41">
        <v>558.5</v>
      </c>
      <c r="I26" s="39">
        <v>1.98</v>
      </c>
    </row>
    <row r="27" ht="27" customHeight="1" spans="1:9">
      <c r="A27" s="42"/>
      <c r="B27" s="36" t="s">
        <v>74</v>
      </c>
      <c r="C27" s="36" t="s">
        <v>22</v>
      </c>
      <c r="D27" s="43"/>
      <c r="E27" s="38">
        <v>180</v>
      </c>
      <c r="F27" s="39">
        <v>10117.6</v>
      </c>
      <c r="G27" s="40">
        <v>1038.5</v>
      </c>
      <c r="H27" s="41">
        <v>1083.5</v>
      </c>
      <c r="I27" s="39">
        <v>3.0096</v>
      </c>
    </row>
    <row r="28" ht="27" customHeight="1" spans="1:9">
      <c r="A28" s="42"/>
      <c r="B28" s="36" t="s">
        <v>74</v>
      </c>
      <c r="C28" s="36" t="s">
        <v>22</v>
      </c>
      <c r="D28" s="43"/>
      <c r="E28" s="38">
        <v>180</v>
      </c>
      <c r="F28" s="39">
        <v>10153.5</v>
      </c>
      <c r="G28" s="40">
        <v>1021.5</v>
      </c>
      <c r="H28" s="41">
        <v>1066.5</v>
      </c>
      <c r="I28" s="39">
        <v>2.97</v>
      </c>
    </row>
    <row r="29" ht="27" customHeight="1" spans="1:9">
      <c r="A29" s="42"/>
      <c r="B29" s="36" t="s">
        <v>76</v>
      </c>
      <c r="C29" s="36" t="s">
        <v>22</v>
      </c>
      <c r="D29" s="43"/>
      <c r="E29" s="38">
        <v>120</v>
      </c>
      <c r="F29" s="39">
        <v>6465</v>
      </c>
      <c r="G29" s="40">
        <v>651.774193548387</v>
      </c>
      <c r="H29" s="41">
        <v>695.322580645161</v>
      </c>
      <c r="I29" s="39">
        <v>1.91612903225806</v>
      </c>
    </row>
    <row r="30" ht="27" customHeight="1" spans="1:9">
      <c r="A30" s="42"/>
      <c r="B30" s="36" t="s">
        <v>76</v>
      </c>
      <c r="C30" s="36" t="s">
        <v>22</v>
      </c>
      <c r="D30" s="43"/>
      <c r="E30" s="38">
        <v>4</v>
      </c>
      <c r="F30" s="39">
        <v>154.4</v>
      </c>
      <c r="G30" s="40">
        <v>21.7258064516129</v>
      </c>
      <c r="H30" s="41">
        <v>23.1774193548387</v>
      </c>
      <c r="I30" s="39">
        <v>0.0638709677419355</v>
      </c>
    </row>
    <row r="31" ht="27" customHeight="1" spans="1:9">
      <c r="A31" s="42"/>
      <c r="B31" s="36" t="s">
        <v>77</v>
      </c>
      <c r="C31" s="36" t="s">
        <v>25</v>
      </c>
      <c r="D31" s="43"/>
      <c r="E31" s="38">
        <v>115</v>
      </c>
      <c r="F31" s="39">
        <v>6287</v>
      </c>
      <c r="G31" s="40">
        <v>690</v>
      </c>
      <c r="H31" s="41">
        <v>735</v>
      </c>
      <c r="I31" s="39">
        <v>2.2572</v>
      </c>
    </row>
    <row r="32" ht="27" customHeight="1" spans="1:9">
      <c r="A32" s="42"/>
      <c r="B32" s="36" t="s">
        <v>77</v>
      </c>
      <c r="C32" s="36" t="s">
        <v>25</v>
      </c>
      <c r="D32" s="43"/>
      <c r="E32" s="38">
        <v>102</v>
      </c>
      <c r="F32" s="39">
        <v>5484.1</v>
      </c>
      <c r="G32" s="40">
        <v>577.01652892562</v>
      </c>
      <c r="H32" s="41">
        <v>614.95041322314</v>
      </c>
      <c r="I32" s="39">
        <v>1.76923636363636</v>
      </c>
    </row>
    <row r="33" ht="27" customHeight="1" spans="1:9">
      <c r="A33" s="42"/>
      <c r="B33" s="36" t="s">
        <v>77</v>
      </c>
      <c r="C33" s="36" t="s">
        <v>25</v>
      </c>
      <c r="D33" s="43"/>
      <c r="E33" s="38">
        <v>19</v>
      </c>
      <c r="F33" s="39">
        <v>755.6</v>
      </c>
      <c r="G33" s="40">
        <v>107.48347107438</v>
      </c>
      <c r="H33" s="41">
        <v>114.549586776859</v>
      </c>
      <c r="I33" s="39">
        <v>0.329563636363636</v>
      </c>
    </row>
    <row r="34" ht="27" customHeight="1" spans="1:9">
      <c r="A34" s="42"/>
      <c r="B34" s="36" t="s">
        <v>78</v>
      </c>
      <c r="C34" s="36" t="s">
        <v>25</v>
      </c>
      <c r="D34" s="43"/>
      <c r="E34" s="38">
        <v>97</v>
      </c>
      <c r="F34" s="39">
        <v>5452.5</v>
      </c>
      <c r="G34" s="40">
        <v>569.262626262626</v>
      </c>
      <c r="H34" s="41">
        <v>613.353535353535</v>
      </c>
      <c r="I34" s="39">
        <v>1.94</v>
      </c>
    </row>
    <row r="35" ht="27" customHeight="1" spans="1:9">
      <c r="A35" s="42"/>
      <c r="B35" s="36" t="s">
        <v>78</v>
      </c>
      <c r="C35" s="36" t="s">
        <v>25</v>
      </c>
      <c r="D35" s="43"/>
      <c r="E35" s="38">
        <v>2</v>
      </c>
      <c r="F35" s="39">
        <v>79</v>
      </c>
      <c r="G35" s="40">
        <v>11.7373737373737</v>
      </c>
      <c r="H35" s="41">
        <v>12.6464646464646</v>
      </c>
      <c r="I35" s="39">
        <v>0.04</v>
      </c>
    </row>
    <row r="36" ht="27" customHeight="1" spans="1:9">
      <c r="A36" s="42"/>
      <c r="B36" s="36" t="s">
        <v>79</v>
      </c>
      <c r="C36" s="36" t="s">
        <v>26</v>
      </c>
      <c r="D36" s="43"/>
      <c r="E36" s="38">
        <v>180</v>
      </c>
      <c r="F36" s="39">
        <v>10055.4</v>
      </c>
      <c r="G36" s="40">
        <v>1108</v>
      </c>
      <c r="H36" s="41">
        <v>1153</v>
      </c>
      <c r="I36" s="39">
        <v>2.9304</v>
      </c>
    </row>
    <row r="37" ht="27" customHeight="1" spans="1:9">
      <c r="A37" s="42"/>
      <c r="B37" s="36" t="s">
        <v>79</v>
      </c>
      <c r="C37" s="36" t="s">
        <v>26</v>
      </c>
      <c r="D37" s="43"/>
      <c r="E37" s="38">
        <v>94</v>
      </c>
      <c r="F37" s="39">
        <v>5338.6</v>
      </c>
      <c r="G37" s="40">
        <v>586.757894736842</v>
      </c>
      <c r="H37" s="41">
        <v>631.284210526316</v>
      </c>
      <c r="I37" s="39">
        <v>1.95915789473684</v>
      </c>
    </row>
    <row r="38" ht="27" customHeight="1" spans="1:9">
      <c r="A38" s="42"/>
      <c r="B38" s="36" t="s">
        <v>79</v>
      </c>
      <c r="C38" s="36" t="s">
        <v>26</v>
      </c>
      <c r="D38" s="43"/>
      <c r="E38" s="38">
        <v>1</v>
      </c>
      <c r="F38" s="39">
        <v>39.4</v>
      </c>
      <c r="G38" s="40">
        <v>6.2421052631579</v>
      </c>
      <c r="H38" s="41">
        <v>6.71578947368421</v>
      </c>
      <c r="I38" s="39">
        <v>0.0208421052631579</v>
      </c>
    </row>
    <row r="39" ht="27" customHeight="1" spans="1:9">
      <c r="A39" s="42"/>
      <c r="B39" s="36" t="s">
        <v>80</v>
      </c>
      <c r="C39" s="36" t="s">
        <v>27</v>
      </c>
      <c r="D39" s="43"/>
      <c r="E39" s="38">
        <v>135</v>
      </c>
      <c r="F39" s="39">
        <v>7557.7</v>
      </c>
      <c r="G39" s="40">
        <v>772.922535211268</v>
      </c>
      <c r="H39" s="41">
        <v>815.704225352113</v>
      </c>
      <c r="I39" s="39">
        <v>2.10828169014085</v>
      </c>
    </row>
    <row r="40" ht="27" customHeight="1" spans="1:9">
      <c r="A40" s="42"/>
      <c r="B40" s="36" t="s">
        <v>80</v>
      </c>
      <c r="C40" s="36" t="s">
        <v>27</v>
      </c>
      <c r="D40" s="43"/>
      <c r="E40" s="38">
        <v>7</v>
      </c>
      <c r="F40" s="39">
        <v>280.7</v>
      </c>
      <c r="G40" s="40">
        <v>40.0774647887324</v>
      </c>
      <c r="H40" s="41">
        <v>42.2957746478873</v>
      </c>
      <c r="I40" s="39">
        <v>0.109318309859155</v>
      </c>
    </row>
    <row r="41" ht="27" customHeight="1" spans="1:9">
      <c r="A41" s="42"/>
      <c r="B41" s="36" t="s">
        <v>80</v>
      </c>
      <c r="C41" s="36" t="s">
        <v>27</v>
      </c>
      <c r="D41" s="43"/>
      <c r="E41" s="38">
        <v>123</v>
      </c>
      <c r="F41" s="39">
        <v>6730.7</v>
      </c>
      <c r="G41" s="40">
        <v>690.654761904762</v>
      </c>
      <c r="H41" s="41">
        <v>734.583333333333</v>
      </c>
      <c r="I41" s="39">
        <v>2.24211428571429</v>
      </c>
    </row>
    <row r="42" ht="27" customHeight="1" spans="1:9">
      <c r="A42" s="42"/>
      <c r="B42" s="36" t="s">
        <v>80</v>
      </c>
      <c r="C42" s="36" t="s">
        <v>27</v>
      </c>
      <c r="D42" s="43"/>
      <c r="E42" s="38">
        <v>3</v>
      </c>
      <c r="F42" s="39">
        <v>121.9</v>
      </c>
      <c r="G42" s="40">
        <v>16.8452380952381</v>
      </c>
      <c r="H42" s="41">
        <v>17.9166666666667</v>
      </c>
      <c r="I42" s="39">
        <v>0.0546857142857143</v>
      </c>
    </row>
    <row r="43" ht="27" customHeight="1" spans="1:9">
      <c r="A43" s="42"/>
      <c r="B43" s="36" t="s">
        <v>80</v>
      </c>
      <c r="C43" s="36" t="s">
        <v>27</v>
      </c>
      <c r="D43" s="43"/>
      <c r="E43" s="38">
        <v>68</v>
      </c>
      <c r="F43" s="39">
        <v>3846.3</v>
      </c>
      <c r="G43" s="40">
        <v>430.028169014084</v>
      </c>
      <c r="H43" s="41">
        <v>473.12676056338</v>
      </c>
      <c r="I43" s="39">
        <v>1.85841126760563</v>
      </c>
    </row>
    <row r="44" ht="27" customHeight="1" spans="1:9">
      <c r="A44" s="42"/>
      <c r="B44" s="36" t="s">
        <v>80</v>
      </c>
      <c r="C44" s="36" t="s">
        <v>27</v>
      </c>
      <c r="D44" s="43"/>
      <c r="E44" s="38">
        <v>3</v>
      </c>
      <c r="F44" s="39">
        <v>120.1</v>
      </c>
      <c r="G44" s="40">
        <v>18.9718309859155</v>
      </c>
      <c r="H44" s="41">
        <v>20.8732394366197</v>
      </c>
      <c r="I44" s="39">
        <v>0.0819887323943662</v>
      </c>
    </row>
    <row r="45" ht="27" customHeight="1" spans="1:9">
      <c r="A45" s="42"/>
      <c r="B45" s="36" t="s">
        <v>81</v>
      </c>
      <c r="C45" s="36" t="s">
        <v>28</v>
      </c>
      <c r="D45" s="43"/>
      <c r="E45" s="38">
        <v>125</v>
      </c>
      <c r="F45" s="39">
        <v>6134.9</v>
      </c>
      <c r="G45" s="40">
        <v>535</v>
      </c>
      <c r="H45" s="41">
        <v>580</v>
      </c>
      <c r="I45" s="39">
        <v>1.8216</v>
      </c>
    </row>
    <row r="46" ht="27" customHeight="1" spans="1:9">
      <c r="A46" s="42"/>
      <c r="B46" s="36" t="s">
        <v>82</v>
      </c>
      <c r="C46" s="36" t="s">
        <v>28</v>
      </c>
      <c r="D46" s="43"/>
      <c r="E46" s="38">
        <v>88</v>
      </c>
      <c r="F46" s="39">
        <v>4252.7</v>
      </c>
      <c r="G46" s="40">
        <v>350.508474576271</v>
      </c>
      <c r="H46" s="41">
        <v>384.067796610169</v>
      </c>
      <c r="I46" s="39">
        <v>1.32894915254237</v>
      </c>
    </row>
    <row r="47" ht="27" customHeight="1" spans="1:9">
      <c r="A47" s="42"/>
      <c r="B47" s="36" t="s">
        <v>82</v>
      </c>
      <c r="C47" s="36" t="s">
        <v>28</v>
      </c>
      <c r="D47" s="43"/>
      <c r="E47" s="38">
        <v>30</v>
      </c>
      <c r="F47" s="39">
        <v>1191</v>
      </c>
      <c r="G47" s="40">
        <v>119.491525423729</v>
      </c>
      <c r="H47" s="41">
        <v>130.932203389831</v>
      </c>
      <c r="I47" s="39">
        <v>0.453050847457627</v>
      </c>
    </row>
    <row r="48" ht="27" customHeight="1" spans="1:9">
      <c r="A48" s="42"/>
      <c r="B48" s="36">
        <v>9000845799</v>
      </c>
      <c r="C48" s="36" t="s">
        <v>23</v>
      </c>
      <c r="D48" s="43"/>
      <c r="E48" s="38">
        <v>90</v>
      </c>
      <c r="F48" s="39">
        <v>4573.4</v>
      </c>
      <c r="G48" s="40">
        <v>361.855670103093</v>
      </c>
      <c r="H48" s="41">
        <v>403.60824742268</v>
      </c>
      <c r="I48" s="39">
        <v>1.46969072164948</v>
      </c>
    </row>
    <row r="49" ht="27" customHeight="1" spans="1:9">
      <c r="A49" s="42"/>
      <c r="B49" s="36">
        <v>9000845799</v>
      </c>
      <c r="C49" s="36" t="s">
        <v>23</v>
      </c>
      <c r="D49" s="43"/>
      <c r="E49" s="38">
        <v>7</v>
      </c>
      <c r="F49" s="39">
        <v>276.4</v>
      </c>
      <c r="G49" s="40">
        <v>28.1443298969072</v>
      </c>
      <c r="H49" s="41">
        <v>31.3917525773196</v>
      </c>
      <c r="I49" s="39">
        <v>0.114309278350515</v>
      </c>
    </row>
    <row r="50" ht="27" customHeight="1" spans="1:9">
      <c r="A50" s="42"/>
      <c r="B50" s="36">
        <v>9000845799</v>
      </c>
      <c r="C50" s="36" t="s">
        <v>24</v>
      </c>
      <c r="D50" s="43"/>
      <c r="E50" s="38">
        <v>103</v>
      </c>
      <c r="F50" s="39">
        <v>5458.8</v>
      </c>
      <c r="G50" s="40">
        <v>438</v>
      </c>
      <c r="H50" s="41">
        <v>483</v>
      </c>
      <c r="I50" s="39">
        <v>1.6632</v>
      </c>
    </row>
    <row r="51" ht="27" customHeight="1" spans="1:9">
      <c r="A51" s="42"/>
      <c r="B51" s="36">
        <v>9000845799</v>
      </c>
      <c r="C51" s="36" t="s">
        <v>24</v>
      </c>
      <c r="D51" s="43"/>
      <c r="E51" s="38">
        <v>190</v>
      </c>
      <c r="F51" s="39">
        <v>10571.2</v>
      </c>
      <c r="G51" s="40">
        <v>860.5</v>
      </c>
      <c r="H51" s="41">
        <v>905.5</v>
      </c>
      <c r="I51" s="39">
        <v>2.6532</v>
      </c>
    </row>
    <row r="52" ht="27" customHeight="1" spans="1:9">
      <c r="A52" s="42"/>
      <c r="B52" s="36">
        <v>9000845799</v>
      </c>
      <c r="C52" s="36" t="s">
        <v>24</v>
      </c>
      <c r="D52" s="43"/>
      <c r="E52" s="38">
        <v>136</v>
      </c>
      <c r="F52" s="39">
        <v>7422.2</v>
      </c>
      <c r="G52" s="40">
        <v>598.5</v>
      </c>
      <c r="H52" s="41">
        <v>643.5</v>
      </c>
      <c r="I52" s="39">
        <v>1.98</v>
      </c>
    </row>
    <row r="53" ht="27" customHeight="1" spans="1:9">
      <c r="A53" s="42"/>
      <c r="B53" s="36">
        <v>9000845799</v>
      </c>
      <c r="C53" s="36" t="s">
        <v>24</v>
      </c>
      <c r="D53" s="43"/>
      <c r="E53" s="38">
        <v>105</v>
      </c>
      <c r="F53" s="39">
        <v>5686.7</v>
      </c>
      <c r="G53" s="40">
        <v>451.323529411765</v>
      </c>
      <c r="H53" s="41">
        <v>491.029411764706</v>
      </c>
      <c r="I53" s="39">
        <v>1.74705882352941</v>
      </c>
    </row>
    <row r="54" ht="27" customHeight="1" spans="1:9">
      <c r="A54" s="42"/>
      <c r="B54" s="36">
        <v>9000845799</v>
      </c>
      <c r="C54" s="36" t="s">
        <v>24</v>
      </c>
      <c r="D54" s="43"/>
      <c r="E54" s="38">
        <v>14</v>
      </c>
      <c r="F54" s="39">
        <v>566.8</v>
      </c>
      <c r="G54" s="40">
        <v>60.1764705882353</v>
      </c>
      <c r="H54" s="41">
        <v>65.4705882352941</v>
      </c>
      <c r="I54" s="39">
        <v>0.232941176470588</v>
      </c>
    </row>
    <row r="55" s="1" customFormat="1" ht="27" customHeight="1" spans="1:10">
      <c r="A55" s="44"/>
      <c r="B55" s="45">
        <v>9000846054</v>
      </c>
      <c r="C55" s="45" t="s">
        <v>24</v>
      </c>
      <c r="D55" s="43"/>
      <c r="E55" s="46">
        <v>40</v>
      </c>
      <c r="F55" s="47">
        <v>2097.6</v>
      </c>
      <c r="G55" s="48">
        <v>173.5</v>
      </c>
      <c r="H55" s="49">
        <v>218.5</v>
      </c>
      <c r="I55" s="47">
        <v>1.0692</v>
      </c>
      <c r="J55" s="69"/>
    </row>
    <row r="56" ht="27" customHeight="1" spans="1:9">
      <c r="A56" s="42"/>
      <c r="B56" s="37" t="s">
        <v>105</v>
      </c>
      <c r="C56" s="33"/>
      <c r="D56" s="50"/>
      <c r="E56" s="51"/>
      <c r="F56" s="52"/>
      <c r="G56" s="52"/>
      <c r="H56" s="52"/>
      <c r="I56" s="70"/>
    </row>
    <row r="57" ht="30" customHeight="1" spans="1:9">
      <c r="A57" s="53"/>
      <c r="B57" s="54" t="s">
        <v>29</v>
      </c>
      <c r="C57" s="54" t="s">
        <v>83</v>
      </c>
      <c r="D57" s="54"/>
      <c r="E57" s="55">
        <f>SUM(E23:E55)</f>
        <v>2576</v>
      </c>
      <c r="F57" s="56">
        <f>SUM(F23:F55)</f>
        <v>138334.7</v>
      </c>
      <c r="G57" s="56">
        <f>SUM(G23:G55)</f>
        <v>13361.5</v>
      </c>
      <c r="H57" s="56">
        <f>SUM(H23:H55)</f>
        <v>14306.5</v>
      </c>
      <c r="I57" s="71">
        <f>SUM(I23:I55)</f>
        <v>44.154</v>
      </c>
    </row>
    <row r="58" ht="21" customHeight="1" spans="1:8">
      <c r="A58" s="57" t="s">
        <v>84</v>
      </c>
      <c r="B58" s="57"/>
      <c r="C58" s="57"/>
      <c r="D58" s="58"/>
      <c r="E58" s="59"/>
      <c r="F58" s="6"/>
      <c r="G58" s="6"/>
      <c r="H58" s="6"/>
    </row>
    <row r="59" ht="65.25" customHeight="1" spans="1:8">
      <c r="A59" s="60" t="s">
        <v>85</v>
      </c>
      <c r="B59" s="61" t="s">
        <v>86</v>
      </c>
      <c r="E59" s="62"/>
      <c r="F59" s="62"/>
      <c r="G59" s="62"/>
      <c r="H59" s="6"/>
    </row>
    <row r="60" ht="51.75" customHeight="1" spans="1:8">
      <c r="A60" s="61" t="s">
        <v>106</v>
      </c>
      <c r="E60" s="62"/>
      <c r="F60" s="62"/>
      <c r="G60" s="62"/>
      <c r="H60" s="62"/>
    </row>
    <row r="61" ht="21" customHeight="1" spans="1:8">
      <c r="A61" s="63" t="s">
        <v>88</v>
      </c>
      <c r="B61" s="63"/>
      <c r="C61" s="63"/>
      <c r="D61" s="63"/>
      <c r="E61" s="64"/>
      <c r="F61" s="64"/>
      <c r="G61" s="64"/>
      <c r="H61" s="64"/>
    </row>
    <row r="62" ht="17.25" customHeight="1" spans="1:8">
      <c r="A62" s="63" t="s">
        <v>89</v>
      </c>
      <c r="B62" s="63"/>
      <c r="C62" s="63"/>
      <c r="D62" s="63"/>
      <c r="E62" s="64"/>
      <c r="F62" s="64"/>
      <c r="G62" s="64"/>
      <c r="H62" s="64"/>
    </row>
    <row r="63" spans="7:7">
      <c r="G63" s="6" t="s">
        <v>45</v>
      </c>
    </row>
    <row r="74" customHeight="1"/>
    <row r="76" ht="15.6" customHeight="1"/>
    <row r="77" ht="15.6" customHeight="1"/>
    <row r="78" ht="15.6" customHeight="1"/>
    <row r="79" ht="15.6" customHeight="1"/>
    <row r="80" ht="15.6" customHeight="1"/>
    <row r="81" ht="15.6" customHeight="1"/>
    <row r="82" ht="115.7" customHeight="1"/>
    <row r="83" ht="113.65" customHeight="1"/>
    <row r="84" ht="15.6" customHeight="1"/>
    <row r="85" ht="16.9" customHeight="1"/>
  </sheetData>
  <mergeCells count="18">
    <mergeCell ref="A1:I1"/>
    <mergeCell ref="A2:I2"/>
    <mergeCell ref="A3:I3"/>
    <mergeCell ref="A4:I4"/>
    <mergeCell ref="A5:I5"/>
    <mergeCell ref="A6:I6"/>
    <mergeCell ref="E21:F21"/>
    <mergeCell ref="B56:C56"/>
    <mergeCell ref="B59:D59"/>
    <mergeCell ref="A60:D60"/>
    <mergeCell ref="A21:A22"/>
    <mergeCell ref="B21:B22"/>
    <mergeCell ref="C21:C22"/>
    <mergeCell ref="D21:D22"/>
    <mergeCell ref="D23:D55"/>
    <mergeCell ref="G21:G22"/>
    <mergeCell ref="H21:H22"/>
    <mergeCell ref="I21:I22"/>
  </mergeCells>
  <printOptions horizontalCentered="1"/>
  <pageMargins left="0.1" right="0.1" top="0.75" bottom="0.75" header="0" footer="0"/>
  <pageSetup paperSize="9" scale="32" orientation="portrait"/>
  <headerFooter/>
  <rowBreaks count="1" manualBreakCount="1">
    <brk id="81" max="16383" man="1"/>
  </rowBreaks>
  <ignoredErrors>
    <ignoredError sqref="B23:B5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Contract</vt:lpstr>
      <vt:lpstr>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w</dc:creator>
  <cp:lastModifiedBy>Prom Prach</cp:lastModifiedBy>
  <dcterms:created xsi:type="dcterms:W3CDTF">2015-06-05T18:17:00Z</dcterms:created>
  <cp:lastPrinted>2023-08-22T01:13:00Z</cp:lastPrinted>
  <dcterms:modified xsi:type="dcterms:W3CDTF">2025-12-03T02:11:30Z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B7DD138B6C1F4C5F9347D6FE6419FBDD_13</vt:lpwstr>
  </property>
  <property fmtid="{D5CDD505-2E9C-101B-9397-08002B2CF9AE}" pid="3" name="KSOProductBuildVer">
    <vt:lpwstr>1033-12.2.0.23155</vt:lpwstr>
  </property>
</Properties>
</file>
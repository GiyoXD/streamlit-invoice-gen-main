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jpz031118</author>
    <author>ttxpg066</author>
  </authors>
  <commentList>
    <comment ref="I11" authorId="0">
      <text>
        <r>
          <rPr>
            <b/>
            <sz val="9"/>
            <rFont val="宋体"/>
            <charset val="134"/>
          </rPr>
          <t>jpz031118:</t>
        </r>
        <r>
          <rPr>
            <sz val="9"/>
            <rFont val="宋体"/>
            <charset val="134"/>
          </rPr>
          <t xml:space="preserve">
35-42小皮</t>
        </r>
      </text>
    </comment>
    <comment ref="I17" authorId="0">
      <text>
        <r>
          <rPr>
            <b/>
            <sz val="9"/>
            <rFont val="宋体"/>
            <charset val="134"/>
          </rPr>
          <t>jpz031118:35-42</t>
        </r>
        <r>
          <rPr>
            <sz val="9"/>
            <rFont val="宋体"/>
            <charset val="134"/>
          </rPr>
          <t>以下小皮</t>
        </r>
      </text>
    </comment>
    <comment ref="I20" authorId="0">
      <text>
        <r>
          <rPr>
            <b/>
            <sz val="9"/>
            <rFont val="宋体"/>
            <charset val="134"/>
          </rPr>
          <t>jpz031118:</t>
        </r>
        <r>
          <rPr>
            <sz val="9"/>
            <rFont val="宋体"/>
            <charset val="134"/>
          </rPr>
          <t xml:space="preserve">
35-42以下小皮</t>
        </r>
      </text>
    </comment>
    <comment ref="I22" authorId="0">
      <text>
        <r>
          <rPr>
            <b/>
            <sz val="9"/>
            <rFont val="宋体"/>
            <charset val="134"/>
          </rPr>
          <t>jpz031118:35-42</t>
        </r>
        <r>
          <rPr>
            <sz val="9"/>
            <rFont val="宋体"/>
            <charset val="134"/>
          </rPr>
          <t>以下小皮</t>
        </r>
      </text>
    </comment>
    <comment ref="I25" authorId="0">
      <text>
        <r>
          <rPr>
            <b/>
            <sz val="9"/>
            <rFont val="宋体"/>
            <charset val="134"/>
          </rPr>
          <t>jpz031118:</t>
        </r>
        <r>
          <rPr>
            <sz val="9"/>
            <rFont val="宋体"/>
            <charset val="134"/>
          </rPr>
          <t xml:space="preserve">
35-42以下小皮</t>
        </r>
      </text>
    </comment>
    <comment ref="I27" authorId="0">
      <text>
        <r>
          <rPr>
            <b/>
            <sz val="9"/>
            <rFont val="宋体"/>
            <charset val="134"/>
          </rPr>
          <t>jpz031118:</t>
        </r>
        <r>
          <rPr>
            <sz val="9"/>
            <rFont val="宋体"/>
            <charset val="134"/>
          </rPr>
          <t xml:space="preserve">
35-42以下小皮</t>
        </r>
      </text>
    </comment>
    <comment ref="I29" authorId="0">
      <text>
        <r>
          <rPr>
            <b/>
            <sz val="9"/>
            <rFont val="宋体"/>
            <charset val="134"/>
          </rPr>
          <t>jpz031118:</t>
        </r>
        <r>
          <rPr>
            <sz val="9"/>
            <rFont val="宋体"/>
            <charset val="134"/>
          </rPr>
          <t xml:space="preserve">
35-42以下小皮</t>
        </r>
      </text>
    </comment>
    <comment ref="I31" authorId="0">
      <text>
        <r>
          <rPr>
            <b/>
            <sz val="9"/>
            <rFont val="宋体"/>
            <charset val="134"/>
          </rPr>
          <t>jpz031118:35-42</t>
        </r>
        <r>
          <rPr>
            <sz val="9"/>
            <rFont val="宋体"/>
            <charset val="134"/>
          </rPr>
          <t>以下小皮</t>
        </r>
      </text>
    </comment>
    <comment ref="I34" authorId="0">
      <text>
        <r>
          <rPr>
            <b/>
            <sz val="9"/>
            <rFont val="宋体"/>
            <charset val="134"/>
          </rPr>
          <t>jpz031118:35-42</t>
        </r>
        <r>
          <rPr>
            <sz val="9"/>
            <rFont val="宋体"/>
            <charset val="134"/>
          </rPr>
          <t>以下小皮</t>
        </r>
      </text>
    </comment>
    <comment ref="A36" authorId="1">
      <text>
        <r>
          <rPr>
            <b/>
            <sz val="9"/>
            <rFont val="宋体"/>
            <charset val="134"/>
          </rPr>
          <t>ttxpg066:</t>
        </r>
        <r>
          <rPr>
            <sz val="9"/>
            <rFont val="宋体"/>
            <charset val="134"/>
          </rPr>
          <t xml:space="preserve">
11-24汪凯龙确认是251121</t>
        </r>
      </text>
    </comment>
    <comment ref="I36" authorId="0">
      <text>
        <r>
          <rPr>
            <b/>
            <sz val="9"/>
            <rFont val="宋体"/>
            <charset val="134"/>
          </rPr>
          <t>jpz031118:35-42</t>
        </r>
        <r>
          <rPr>
            <sz val="9"/>
            <rFont val="宋体"/>
            <charset val="134"/>
          </rPr>
          <t>以下小皮</t>
        </r>
      </text>
    </comment>
    <comment ref="I41" authorId="0">
      <text>
        <r>
          <rPr>
            <b/>
            <sz val="9"/>
            <rFont val="宋体"/>
            <charset val="134"/>
          </rPr>
          <t>jpz031118:35-42</t>
        </r>
        <r>
          <rPr>
            <sz val="9"/>
            <rFont val="宋体"/>
            <charset val="134"/>
          </rPr>
          <t>以下小皮</t>
        </r>
      </text>
    </comment>
  </commentList>
</comments>
</file>

<file path=xl/sharedStrings.xml><?xml version="1.0" encoding="utf-8"?>
<sst xmlns="http://schemas.openxmlformats.org/spreadsheetml/2006/main" count="370" uniqueCount="140">
  <si>
    <t>客户公司名称：JASON FURNITURE VIET NAM COMPANY LIMITED</t>
  </si>
  <si>
    <r>
      <rPr>
        <sz val="16"/>
        <rFont val="宋体"/>
        <charset val="134"/>
      </rPr>
      <t>各位采购大佬，因人员工作调整， 后面直发货柜清关资料和送货单邮件和送货单请发送：
物流：gaoshiliq &lt;gaoshiliq@kukahome.com&gt;meiyuan@kukahome.com，倪佳慧&lt;nijiahui@kukahome.com&gt;  
liqinghui@kukahome.com，ruanshixin@kukahome.com 
采购：vongochieu201@gmail.com，thanhvuthi188@gmail.com @晓利嗳</t>
    </r>
    <r>
      <rPr>
        <sz val="16"/>
        <rFont val="Times New Roman"/>
        <charset val="134"/>
      </rPr>
      <t> </t>
    </r>
    <r>
      <rPr>
        <sz val="16"/>
        <rFont val="宋体"/>
        <charset val="134"/>
      </rPr>
      <t xml:space="preserve">
4-21后面发资料清关请在邮件加邮件地址：yuxiao@kukahome.com 
请知悉 @晓利嗳</t>
    </r>
    <r>
      <rPr>
        <sz val="16"/>
        <rFont val="Times New Roman"/>
        <charset val="134"/>
      </rPr>
      <t>  </t>
    </r>
    <r>
      <rPr>
        <sz val="16"/>
        <rFont val="宋体"/>
        <charset val="134"/>
      </rPr>
      <t xml:space="preserve">
8-29后面CCpeishilanying@kukahome.com吧</t>
    </r>
  </si>
  <si>
    <t xml:space="preserve">gaoshiliq &lt;gaoshiliq@kukahome.com&gt;meiyuan@kukahome.com，&lt;nijiahui@kukahome.com&gt;  
liqinghui@kukahome.com，ruanshixin@kukahome.com，vongochieu201@gmail.com，thanhvuthi188@gmail.com，yuxiao@kukahome.com </t>
  </si>
  <si>
    <t>装运日期：</t>
  </si>
  <si>
    <t>形式发票号：</t>
  </si>
  <si>
    <t>JF25058</t>
  </si>
  <si>
    <t>B2牛皮仓+A1牛皮仓</t>
  </si>
  <si>
    <t>出口国：VIETNAM （越南）
                                                            港口：BINH PHUOC PROVINCE, VIETNAM</t>
  </si>
  <si>
    <t>离港</t>
  </si>
  <si>
    <t>ETD：</t>
  </si>
  <si>
    <t>供应商代码*：OA-36013546  美金</t>
  </si>
  <si>
    <t>到港</t>
  </si>
  <si>
    <t>ETA：</t>
  </si>
  <si>
    <t>中文公司名称：庄盛家具（越南）有限公司 平福工厂</t>
  </si>
  <si>
    <t>SHIPPING DATE</t>
  </si>
  <si>
    <t>PO NO</t>
  </si>
  <si>
    <t>P.O.NO</t>
  </si>
  <si>
    <t>ITEM NO</t>
  </si>
  <si>
    <t>Number</t>
  </si>
  <si>
    <t>DELIVERY</t>
  </si>
  <si>
    <t>of  PCS</t>
  </si>
  <si>
    <t>QUANTITY</t>
  </si>
  <si>
    <t>金额</t>
  </si>
  <si>
    <t>批次号</t>
  </si>
  <si>
    <t>订单号</t>
  </si>
  <si>
    <t>行号</t>
  </si>
  <si>
    <t>内向</t>
  </si>
  <si>
    <t>生产日期</t>
  </si>
  <si>
    <t>生产单号</t>
  </si>
  <si>
    <t>TTX编号</t>
  </si>
  <si>
    <t>物料代码</t>
  </si>
  <si>
    <t>等级</t>
  </si>
  <si>
    <t>总张数</t>
  </si>
  <si>
    <t>出货数量（SF）</t>
  </si>
  <si>
    <t>托数</t>
  </si>
  <si>
    <t>净重</t>
  </si>
  <si>
    <t>毛重</t>
  </si>
  <si>
    <t>USD</t>
  </si>
  <si>
    <t>量码版</t>
  </si>
  <si>
    <t>备注</t>
  </si>
  <si>
    <t>CLF-250819</t>
  </si>
  <si>
    <t>9000761021</t>
  </si>
  <si>
    <t>20</t>
  </si>
  <si>
    <t>0181763010</t>
  </si>
  <si>
    <t>2508068-01</t>
  </si>
  <si>
    <t>XPDY-FX-卡其115</t>
  </si>
  <si>
    <t>01.10.U756061</t>
  </si>
  <si>
    <t>A级</t>
  </si>
  <si>
    <t>99版</t>
  </si>
  <si>
    <t>2.2*1.8*0.5</t>
  </si>
  <si>
    <t>01T25081906</t>
  </si>
  <si>
    <t>A级/42尺以下9折</t>
  </si>
  <si>
    <t>折扣/85折</t>
  </si>
  <si>
    <t>CLF-251127</t>
  </si>
  <si>
    <t>9000845799</t>
  </si>
  <si>
    <t>0181762465</t>
  </si>
  <si>
    <t>2511101-01</t>
  </si>
  <si>
    <t>UDAY-ET-棕454</t>
  </si>
  <si>
    <t>01.10.W783010</t>
  </si>
  <si>
    <t>01T25112708</t>
  </si>
  <si>
    <t>2.2*1.8*0.76</t>
  </si>
  <si>
    <t>01T25112709</t>
  </si>
  <si>
    <t>2.2*1.8*0.75</t>
  </si>
  <si>
    <t>01T25112710</t>
  </si>
  <si>
    <t>CLF-251125</t>
  </si>
  <si>
    <t>9000837343</t>
  </si>
  <si>
    <t>10</t>
  </si>
  <si>
    <t>0181762464</t>
  </si>
  <si>
    <t>2511068-01</t>
  </si>
  <si>
    <t>01T25112505</t>
  </si>
  <si>
    <t>CLF-251109</t>
  </si>
  <si>
    <t>9000827464</t>
  </si>
  <si>
    <t>0181752702</t>
  </si>
  <si>
    <t>2511030-01</t>
  </si>
  <si>
    <t>XZSY-ES-蓝317</t>
  </si>
  <si>
    <t>01.10.W782023</t>
  </si>
  <si>
    <t>2.2*1.8*0.57</t>
  </si>
  <si>
    <t>01T25110903</t>
  </si>
  <si>
    <t>2.2*1.8*0.53</t>
  </si>
  <si>
    <t>01T25110904</t>
  </si>
  <si>
    <t>CLF-251121</t>
  </si>
  <si>
    <t>9000840610</t>
  </si>
  <si>
    <t>0181762461</t>
  </si>
  <si>
    <t>2511077-01</t>
  </si>
  <si>
    <t>02T25112105</t>
  </si>
  <si>
    <t>CLF-251021</t>
  </si>
  <si>
    <t>9000822669</t>
  </si>
  <si>
    <t>0181763012</t>
  </si>
  <si>
    <t>2510117-01</t>
  </si>
  <si>
    <t>XZSY-ES-浅棕125</t>
  </si>
  <si>
    <t>01.10.W782011</t>
  </si>
  <si>
    <t>2.2*1.8*0.74</t>
  </si>
  <si>
    <t>01T25102106</t>
  </si>
  <si>
    <t>01T25102303</t>
  </si>
  <si>
    <t>CLF-251012</t>
  </si>
  <si>
    <t>9000804107</t>
  </si>
  <si>
    <t>50</t>
  </si>
  <si>
    <t>0181762462</t>
  </si>
  <si>
    <t>2510035-01</t>
  </si>
  <si>
    <t>XZSY-ES-灰白278</t>
  </si>
  <si>
    <t>01.10.W782033</t>
  </si>
  <si>
    <t>2.2*1.8*0.56</t>
  </si>
  <si>
    <t>01T25101301</t>
  </si>
  <si>
    <t>2.2*1.8*0.58</t>
  </si>
  <si>
    <t>01T25101307</t>
  </si>
  <si>
    <t>CLF-251119</t>
  </si>
  <si>
    <t>2511079-01</t>
  </si>
  <si>
    <t>2.2*1.8*0.49</t>
  </si>
  <si>
    <t>02T25111906</t>
  </si>
  <si>
    <t>CLF-251114</t>
  </si>
  <si>
    <t>9000824229</t>
  </si>
  <si>
    <t>0181762446</t>
  </si>
  <si>
    <t>2511019-01</t>
  </si>
  <si>
    <t>XPGY-FX-灰白274</t>
  </si>
  <si>
    <t>01.10.U562013-K</t>
  </si>
  <si>
    <t>2.2*1.8*0.46</t>
  </si>
  <si>
    <t>01T25111401</t>
  </si>
  <si>
    <t>9000852084</t>
  </si>
  <si>
    <t>0181762447</t>
  </si>
  <si>
    <t>2.2*1.8*0.45</t>
  </si>
  <si>
    <t>02T25111605</t>
  </si>
  <si>
    <t>2511104-01</t>
  </si>
  <si>
    <t>XPAY-FX-灰657</t>
  </si>
  <si>
    <t>01.10.U528073</t>
  </si>
  <si>
    <t>2.2*1.8*0.4</t>
  </si>
  <si>
    <t>02T25112208</t>
  </si>
  <si>
    <t>CLF-250603</t>
  </si>
  <si>
    <t>2505126-01</t>
  </si>
  <si>
    <t>XPAY-FX-蘑菇05</t>
  </si>
  <si>
    <t>01.10.U528103</t>
  </si>
  <si>
    <t>2.2*1.8*0.42</t>
  </si>
  <si>
    <t>01T25060305</t>
  </si>
  <si>
    <t>2511105-01</t>
  </si>
  <si>
    <t>2.2*1.8*0.67</t>
  </si>
  <si>
    <t>02T25112705</t>
  </si>
  <si>
    <t>02T25112706</t>
  </si>
  <si>
    <t>01T25112707</t>
  </si>
  <si>
    <t>2.2*1.8*0.27</t>
  </si>
  <si>
    <t>02T25112704</t>
  </si>
  <si>
    <t>A1牛皮仓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</si>
</sst>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[$-409]dd\-mmm\-yy;@"/>
    <numFmt numFmtId="178" formatCode="0.00;[Red]0.00"/>
    <numFmt numFmtId="179" formatCode="yyyy/m/d;@"/>
    <numFmt numFmtId="180" formatCode="0.000000_ "/>
    <numFmt numFmtId="181" formatCode="0.00000000_ "/>
  </numFmts>
  <fonts count="40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2"/>
      <color rgb="FF0000FF"/>
      <name val="宋体"/>
      <charset val="134"/>
    </font>
    <font>
      <sz val="16"/>
      <name val="宋体"/>
      <charset val="134"/>
    </font>
    <font>
      <sz val="14"/>
      <name val="宋体"/>
      <charset val="134"/>
    </font>
    <font>
      <b/>
      <sz val="14"/>
      <color rgb="FFFF0000"/>
      <name val="宋体"/>
      <charset val="134"/>
    </font>
    <font>
      <sz val="10"/>
      <name val="宋体"/>
      <charset val="134"/>
      <scheme val="minor"/>
    </font>
    <font>
      <sz val="9"/>
      <name val="Microsoft YaHei"/>
      <charset val="134"/>
    </font>
    <font>
      <b/>
      <sz val="9"/>
      <color rgb="FFFF0000"/>
      <name val="Microsoft YaHei"/>
      <charset val="134"/>
    </font>
    <font>
      <sz val="10"/>
      <color rgb="FF0000FF"/>
      <name val="宋体"/>
      <charset val="134"/>
      <scheme val="minor"/>
    </font>
    <font>
      <sz val="10"/>
      <name val="宋体"/>
      <charset val="134"/>
    </font>
    <font>
      <b/>
      <sz val="11"/>
      <name val="宋体"/>
      <charset val="134"/>
      <scheme val="minor"/>
    </font>
    <font>
      <sz val="12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  <scheme val="minor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name val="Times New Roman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8" applyNumberFormat="0" applyAlignment="0" applyProtection="0">
      <alignment vertical="center"/>
    </xf>
    <xf numFmtId="0" fontId="27" fillId="6" borderId="9" applyNumberFormat="0" applyAlignment="0" applyProtection="0">
      <alignment vertical="center"/>
    </xf>
    <xf numFmtId="0" fontId="28" fillId="6" borderId="8" applyNumberFormat="0" applyAlignment="0" applyProtection="0">
      <alignment vertical="center"/>
    </xf>
    <xf numFmtId="0" fontId="29" fillId="7" borderId="10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center" wrapText="1"/>
    </xf>
    <xf numFmtId="0" fontId="5" fillId="0" borderId="0" xfId="0" applyFont="1" applyFill="1" applyBorder="1" applyAlignment="1">
      <alignment horizontal="center"/>
    </xf>
    <xf numFmtId="0" fontId="5" fillId="3" borderId="0" xfId="0" applyFont="1" applyFill="1" applyAlignment="1">
      <alignment horizontal="center" wrapText="1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center"/>
    </xf>
    <xf numFmtId="176" fontId="1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left" vertical="center"/>
    </xf>
    <xf numFmtId="58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176" fontId="6" fillId="0" borderId="0" xfId="0" applyNumberFormat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/>
    </xf>
    <xf numFmtId="0" fontId="1" fillId="0" borderId="0" xfId="0" applyFont="1" applyFill="1" applyAlignment="1">
      <alignment horizontal="left" vertical="center" wrapText="1" shrinkToFit="1"/>
    </xf>
    <xf numFmtId="0" fontId="1" fillId="0" borderId="0" xfId="0" applyFont="1" applyFill="1" applyAlignment="1">
      <alignment horizontal="center" vertical="center" wrapText="1" shrinkToFit="1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177" fontId="9" fillId="0" borderId="0" xfId="0" applyNumberFormat="1" applyFont="1" applyFill="1" applyAlignment="1">
      <alignment vertical="center" wrapText="1"/>
    </xf>
    <xf numFmtId="176" fontId="9" fillId="0" borderId="0" xfId="0" applyNumberFormat="1" applyFont="1" applyFill="1" applyAlignment="1">
      <alignment vertical="center" wrapText="1"/>
    </xf>
    <xf numFmtId="0" fontId="9" fillId="0" borderId="0" xfId="0" applyFont="1" applyFill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40" fontId="8" fillId="0" borderId="0" xfId="0" applyNumberFormat="1" applyFont="1" applyFill="1" applyBorder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176" fontId="9" fillId="0" borderId="0" xfId="0" applyNumberFormat="1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left" vertical="center"/>
    </xf>
    <xf numFmtId="176" fontId="1" fillId="0" borderId="0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vertical="center"/>
    </xf>
    <xf numFmtId="178" fontId="1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0" fontId="13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6" fontId="13" fillId="0" borderId="2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 wrapText="1"/>
    </xf>
    <xf numFmtId="179" fontId="14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center" vertical="center" wrapText="1"/>
    </xf>
    <xf numFmtId="0" fontId="16" fillId="0" borderId="2" xfId="0" applyNumberFormat="1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7" fillId="0" borderId="3" xfId="0" applyNumberFormat="1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/>
    </xf>
    <xf numFmtId="176" fontId="16" fillId="0" borderId="2" xfId="0" applyNumberFormat="1" applyFont="1" applyFill="1" applyBorder="1" applyAlignment="1">
      <alignment horizontal="center" vertical="center"/>
    </xf>
    <xf numFmtId="180" fontId="17" fillId="0" borderId="1" xfId="0" applyNumberFormat="1" applyFont="1" applyFill="1" applyBorder="1" applyAlignment="1">
      <alignment horizontal="center" vertical="center" wrapText="1"/>
    </xf>
    <xf numFmtId="181" fontId="16" fillId="0" borderId="2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vertical="center"/>
    </xf>
    <xf numFmtId="176" fontId="3" fillId="0" borderId="0" xfId="0" applyNumberFormat="1" applyFont="1" applyFill="1" applyAlignment="1">
      <alignment vertical="center"/>
    </xf>
    <xf numFmtId="0" fontId="16" fillId="0" borderId="4" xfId="0" applyFont="1" applyFill="1" applyBorder="1" applyAlignment="1">
      <alignment horizontal="center" vertical="center"/>
    </xf>
    <xf numFmtId="0" fontId="17" fillId="0" borderId="4" xfId="0" applyNumberFormat="1" applyFont="1" applyFill="1" applyBorder="1" applyAlignment="1">
      <alignment horizontal="center" vertical="center" wrapText="1"/>
    </xf>
    <xf numFmtId="0" fontId="17" fillId="0" borderId="2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179" fontId="14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NumberFormat="1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176" fontId="16" fillId="2" borderId="2" xfId="0" applyNumberFormat="1" applyFont="1" applyFill="1" applyBorder="1" applyAlignment="1">
      <alignment horizontal="center" vertical="center"/>
    </xf>
    <xf numFmtId="180" fontId="17" fillId="2" borderId="1" xfId="0" applyNumberFormat="1" applyFont="1" applyFill="1" applyBorder="1" applyAlignment="1">
      <alignment horizontal="center" vertical="center" wrapText="1"/>
    </xf>
    <xf numFmtId="181" fontId="16" fillId="2" borderId="2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vertical="center"/>
    </xf>
    <xf numFmtId="176" fontId="3" fillId="2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4"/>
  <sheetViews>
    <sheetView tabSelected="1" topLeftCell="I38" workbookViewId="0">
      <selection activeCell="U47" sqref="U47"/>
    </sheetView>
  </sheetViews>
  <sheetFormatPr defaultColWidth="9" defaultRowHeight="13.5"/>
  <cols>
    <col min="1" max="1" width="14.7583333333333" customWidth="1"/>
    <col min="2" max="2" width="17.2583333333333" customWidth="1"/>
    <col min="3" max="3" width="15.775" customWidth="1"/>
    <col min="4" max="4" width="17.3416666666667" customWidth="1"/>
    <col min="5" max="5" width="16.875" customWidth="1"/>
    <col min="6" max="6" width="17.9333333333333" customWidth="1"/>
    <col min="7" max="7" width="17.5" customWidth="1"/>
    <col min="8" max="8" width="17.7916666666667" customWidth="1"/>
    <col min="9" max="9" width="13.625" customWidth="1"/>
    <col min="10" max="10" width="16.7166666666667" customWidth="1"/>
    <col min="11" max="11" width="17.9666666666667" customWidth="1"/>
    <col min="12" max="12" width="16.0916666666667" customWidth="1"/>
    <col min="13" max="13" width="13.0916666666667" customWidth="1"/>
    <col min="14" max="14" width="8.38333333333333" customWidth="1"/>
    <col min="15" max="15" width="12.625"/>
    <col min="16" max="16" width="14.8333333333333" customWidth="1"/>
    <col min="17" max="17" width="13.525" customWidth="1"/>
    <col min="18" max="18" width="14.7" customWidth="1"/>
    <col min="19" max="19" width="15.1416666666667" customWidth="1"/>
    <col min="20" max="20" width="10.375"/>
    <col min="21" max="21" width="17.125" customWidth="1"/>
    <col min="22" max="22" width="11.625"/>
    <col min="25" max="25" width="12.625"/>
    <col min="27" max="27" width="12.625"/>
  </cols>
  <sheetData>
    <row r="1" s="1" customFormat="1" ht="37" customHeight="1" spans="1:26">
      <c r="A1" s="7" t="s">
        <v>0</v>
      </c>
      <c r="B1" s="7"/>
      <c r="C1" s="8"/>
      <c r="D1" s="7"/>
      <c r="E1" s="9"/>
      <c r="F1" s="9"/>
      <c r="G1" s="10" t="s">
        <v>1</v>
      </c>
      <c r="H1" s="10"/>
      <c r="I1" s="10"/>
      <c r="J1" s="10"/>
      <c r="K1" s="11" t="s">
        <v>2</v>
      </c>
      <c r="N1" s="2"/>
      <c r="O1" s="12"/>
      <c r="Q1" s="13"/>
      <c r="W1" s="13"/>
    </row>
    <row r="2" s="1" customFormat="1" ht="27" customHeight="1" spans="1:26">
      <c r="A2" s="14" t="s">
        <v>3</v>
      </c>
      <c r="B2" s="15">
        <v>45993</v>
      </c>
      <c r="C2" s="12"/>
      <c r="D2" s="16"/>
      <c r="E2" s="9"/>
      <c r="F2" s="9"/>
      <c r="G2" s="10"/>
      <c r="H2" s="10"/>
      <c r="I2" s="10"/>
      <c r="J2" s="10"/>
      <c r="K2" s="17"/>
      <c r="L2" s="17"/>
      <c r="M2" s="17"/>
      <c r="N2" s="18"/>
      <c r="O2" s="18"/>
      <c r="P2" s="18"/>
      <c r="Q2" s="19"/>
      <c r="R2" s="18"/>
      <c r="W2" s="13"/>
    </row>
    <row r="3" s="1" customFormat="1" ht="29" customHeight="1" spans="1:26">
      <c r="A3" s="14" t="s">
        <v>4</v>
      </c>
      <c r="B3" s="14" t="s">
        <v>5</v>
      </c>
      <c r="C3" s="20" t="s">
        <v>6</v>
      </c>
      <c r="D3" s="16"/>
      <c r="E3" s="9"/>
      <c r="F3" s="9"/>
      <c r="G3" s="10"/>
      <c r="H3" s="10"/>
      <c r="I3" s="10"/>
      <c r="J3" s="10"/>
      <c r="K3" s="17"/>
      <c r="L3" s="17"/>
      <c r="M3" s="17"/>
      <c r="N3" s="18"/>
      <c r="O3" s="18"/>
      <c r="P3" s="18"/>
      <c r="Q3" s="19"/>
      <c r="R3" s="18"/>
      <c r="W3" s="13"/>
    </row>
    <row r="4" s="1" customFormat="1" ht="46" customHeight="1" spans="1:26">
      <c r="A4" s="21" t="s">
        <v>7</v>
      </c>
      <c r="B4" s="21"/>
      <c r="C4" s="22"/>
      <c r="D4" s="21"/>
      <c r="E4" s="23"/>
      <c r="F4" s="9"/>
      <c r="G4" s="10"/>
      <c r="H4" s="10"/>
      <c r="I4" s="10"/>
      <c r="J4" s="10"/>
      <c r="K4" s="17"/>
      <c r="M4" s="18" t="s">
        <v>8</v>
      </c>
      <c r="N4" s="24" t="s">
        <v>9</v>
      </c>
      <c r="O4" s="25">
        <f>B2</f>
        <v>45993</v>
      </c>
      <c r="Q4" s="26"/>
      <c r="R4" s="27"/>
      <c r="W4" s="13"/>
    </row>
    <row r="5" s="1" customFormat="1" ht="28" customHeight="1" spans="1:26">
      <c r="A5" s="28" t="s">
        <v>10</v>
      </c>
      <c r="B5" s="28"/>
      <c r="C5" s="23"/>
      <c r="D5" s="23"/>
      <c r="F5" s="29"/>
      <c r="G5" s="23"/>
      <c r="H5" s="30"/>
      <c r="I5" s="29"/>
      <c r="M5" s="31" t="s">
        <v>11</v>
      </c>
      <c r="N5" s="32" t="s">
        <v>12</v>
      </c>
      <c r="O5" s="25">
        <f>O4+1</f>
        <v>45994</v>
      </c>
      <c r="Q5" s="33"/>
      <c r="R5" s="34"/>
      <c r="W5" s="13"/>
    </row>
    <row r="6" s="1" customFormat="1" ht="28" customHeight="1" spans="1:26">
      <c r="A6" s="35" t="s">
        <v>13</v>
      </c>
      <c r="B6" s="28"/>
      <c r="C6" s="23"/>
      <c r="D6" s="28"/>
      <c r="E6" s="28"/>
      <c r="F6" s="23"/>
      <c r="G6" s="23"/>
      <c r="H6" s="29"/>
      <c r="I6" s="29"/>
      <c r="J6" s="29"/>
      <c r="K6" s="23"/>
      <c r="L6" s="30"/>
      <c r="N6" s="2"/>
      <c r="O6" s="12"/>
      <c r="Q6" s="13"/>
      <c r="T6" s="12"/>
      <c r="U6" s="16"/>
      <c r="V6" s="12"/>
      <c r="W6" s="36"/>
    </row>
    <row r="7" s="2" customFormat="1" ht="21" customHeight="1" spans="1:26">
      <c r="A7" s="37" t="s">
        <v>14</v>
      </c>
      <c r="B7" s="38" t="s">
        <v>15</v>
      </c>
      <c r="C7" s="38" t="s">
        <v>15</v>
      </c>
      <c r="D7" s="38"/>
      <c r="E7" s="38"/>
      <c r="F7" s="38" t="s">
        <v>16</v>
      </c>
      <c r="G7" s="38"/>
      <c r="H7" s="38" t="s">
        <v>17</v>
      </c>
      <c r="I7" s="38"/>
      <c r="J7" s="38" t="s">
        <v>18</v>
      </c>
      <c r="K7" s="39" t="s">
        <v>19</v>
      </c>
      <c r="L7" s="38"/>
      <c r="M7" s="38"/>
      <c r="N7" s="38"/>
      <c r="O7" s="40"/>
      <c r="P7" s="41"/>
      <c r="T7" s="42"/>
    </row>
    <row r="8" s="2" customFormat="1" ht="21" customHeight="1" spans="1:26">
      <c r="A8" s="37"/>
      <c r="B8" s="38"/>
      <c r="C8" s="38"/>
      <c r="D8" s="38"/>
      <c r="E8" s="38"/>
      <c r="F8" s="38"/>
      <c r="G8" s="38"/>
      <c r="H8" s="38"/>
      <c r="I8" s="38"/>
      <c r="J8" s="38" t="s">
        <v>20</v>
      </c>
      <c r="K8" s="39" t="s">
        <v>21</v>
      </c>
      <c r="L8" s="38"/>
      <c r="M8" s="38"/>
      <c r="N8" s="38"/>
      <c r="O8" s="43" t="s">
        <v>22</v>
      </c>
      <c r="P8" s="41"/>
      <c r="T8" s="42"/>
    </row>
    <row r="9" s="3" customFormat="1" ht="45" customHeight="1" spans="1:26">
      <c r="A9" s="44" t="s">
        <v>23</v>
      </c>
      <c r="B9" s="44" t="s">
        <v>24</v>
      </c>
      <c r="C9" s="45" t="s">
        <v>25</v>
      </c>
      <c r="D9" s="44" t="s">
        <v>26</v>
      </c>
      <c r="E9" s="45" t="s">
        <v>27</v>
      </c>
      <c r="F9" s="45" t="s">
        <v>28</v>
      </c>
      <c r="G9" s="44" t="s">
        <v>29</v>
      </c>
      <c r="H9" s="44" t="s">
        <v>30</v>
      </c>
      <c r="I9" s="44" t="s">
        <v>31</v>
      </c>
      <c r="J9" s="44" t="s">
        <v>32</v>
      </c>
      <c r="K9" s="46" t="s">
        <v>33</v>
      </c>
      <c r="L9" s="44" t="s">
        <v>34</v>
      </c>
      <c r="M9" s="45" t="s">
        <v>35</v>
      </c>
      <c r="N9" s="47" t="s">
        <v>36</v>
      </c>
      <c r="O9" s="48" t="s">
        <v>37</v>
      </c>
      <c r="P9" s="48" t="s">
        <v>37</v>
      </c>
      <c r="Q9" s="49" t="s">
        <v>38</v>
      </c>
      <c r="R9" s="49" t="s">
        <v>39</v>
      </c>
      <c r="T9" s="50"/>
      <c r="U9" s="51"/>
    </row>
    <row r="10" s="4" customFormat="1" ht="45" customHeight="1" spans="1:26">
      <c r="A10" s="52" t="s">
        <v>40</v>
      </c>
      <c r="B10" s="53" t="s">
        <v>41</v>
      </c>
      <c r="C10" s="53" t="s">
        <v>42</v>
      </c>
      <c r="D10" s="54" t="s">
        <v>43</v>
      </c>
      <c r="E10" s="55">
        <v>45888</v>
      </c>
      <c r="F10" s="56" t="s">
        <v>44</v>
      </c>
      <c r="G10" s="57" t="s">
        <v>45</v>
      </c>
      <c r="H10" s="52" t="s">
        <v>46</v>
      </c>
      <c r="I10" s="58" t="s">
        <v>47</v>
      </c>
      <c r="J10" s="59">
        <v>113</v>
      </c>
      <c r="K10" s="59">
        <v>5699.5</v>
      </c>
      <c r="L10" s="60">
        <v>1</v>
      </c>
      <c r="M10" s="61">
        <v>511.5</v>
      </c>
      <c r="N10" s="60">
        <v>556.5</v>
      </c>
      <c r="O10" s="62">
        <v>1.25</v>
      </c>
      <c r="P10" s="62">
        <f t="shared" ref="P10:P42" si="0">O10*K10</f>
        <v>7124.375</v>
      </c>
      <c r="Q10" s="62" t="s">
        <v>48</v>
      </c>
      <c r="R10" s="63" t="s">
        <v>49</v>
      </c>
      <c r="S10" s="64" t="s">
        <v>50</v>
      </c>
      <c r="T10" s="63"/>
      <c r="U10" s="65"/>
      <c r="V10" s="66"/>
      <c r="W10" s="67"/>
      <c r="X10" s="67"/>
      <c r="Z10" s="67"/>
    </row>
    <row r="11" s="4" customFormat="1" ht="45" customHeight="1" spans="1:26">
      <c r="A11" s="52" t="s">
        <v>40</v>
      </c>
      <c r="B11" s="53" t="s">
        <v>41</v>
      </c>
      <c r="C11" s="53" t="s">
        <v>42</v>
      </c>
      <c r="D11" s="54" t="s">
        <v>43</v>
      </c>
      <c r="E11" s="55">
        <v>45888</v>
      </c>
      <c r="F11" s="56" t="s">
        <v>44</v>
      </c>
      <c r="G11" s="57" t="s">
        <v>45</v>
      </c>
      <c r="H11" s="52" t="s">
        <v>46</v>
      </c>
      <c r="I11" s="58" t="s">
        <v>51</v>
      </c>
      <c r="J11" s="59">
        <v>4</v>
      </c>
      <c r="K11" s="59">
        <v>161.5</v>
      </c>
      <c r="L11" s="68"/>
      <c r="M11" s="69"/>
      <c r="N11" s="68"/>
      <c r="O11" s="62">
        <v>1.13</v>
      </c>
      <c r="P11" s="62">
        <f t="shared" si="0"/>
        <v>182.495</v>
      </c>
      <c r="Q11" s="62" t="s">
        <v>48</v>
      </c>
      <c r="R11" s="63"/>
      <c r="S11" s="64" t="s">
        <v>50</v>
      </c>
      <c r="T11" s="63">
        <f>1.25*0.9</f>
        <v>1.125</v>
      </c>
      <c r="U11" s="65">
        <f>O11-T11</f>
        <v>0.00499999999999989</v>
      </c>
      <c r="V11" s="66">
        <f>1.25*0.9</f>
        <v>1.125</v>
      </c>
      <c r="W11" s="67"/>
      <c r="X11" s="67"/>
      <c r="Z11" s="67"/>
    </row>
    <row r="12" s="4" customFormat="1" ht="45" customHeight="1" spans="1:26">
      <c r="A12" s="52" t="s">
        <v>40</v>
      </c>
      <c r="B12" s="53" t="s">
        <v>41</v>
      </c>
      <c r="C12" s="53" t="s">
        <v>42</v>
      </c>
      <c r="D12" s="54" t="s">
        <v>43</v>
      </c>
      <c r="E12" s="55">
        <v>45888</v>
      </c>
      <c r="F12" s="56" t="s">
        <v>44</v>
      </c>
      <c r="G12" s="57" t="s">
        <v>45</v>
      </c>
      <c r="H12" s="52" t="s">
        <v>46</v>
      </c>
      <c r="I12" s="58" t="s">
        <v>52</v>
      </c>
      <c r="J12" s="59">
        <v>3</v>
      </c>
      <c r="K12" s="59">
        <v>133.2</v>
      </c>
      <c r="L12" s="62"/>
      <c r="M12" s="70"/>
      <c r="N12" s="62"/>
      <c r="O12" s="62">
        <v>1.06</v>
      </c>
      <c r="P12" s="62">
        <f t="shared" si="0"/>
        <v>141.192</v>
      </c>
      <c r="Q12" s="62" t="s">
        <v>48</v>
      </c>
      <c r="R12" s="63"/>
      <c r="S12" s="64" t="s">
        <v>50</v>
      </c>
      <c r="T12" s="63">
        <f>1.25*0.85</f>
        <v>1.0625</v>
      </c>
      <c r="U12" s="65">
        <f>O12-T12</f>
        <v>-0.00249999999999995</v>
      </c>
      <c r="V12" s="66">
        <f>1.25*0.85</f>
        <v>1.0625</v>
      </c>
      <c r="W12" s="67"/>
      <c r="X12" s="67"/>
      <c r="Z12" s="67"/>
    </row>
    <row r="13" s="4" customFormat="1" ht="45" customHeight="1" spans="1:26">
      <c r="A13" s="52" t="s">
        <v>53</v>
      </c>
      <c r="B13" s="53" t="s">
        <v>54</v>
      </c>
      <c r="C13" s="53" t="s">
        <v>42</v>
      </c>
      <c r="D13" s="54" t="s">
        <v>55</v>
      </c>
      <c r="E13" s="55">
        <v>45988</v>
      </c>
      <c r="F13" s="56" t="s">
        <v>56</v>
      </c>
      <c r="G13" s="57" t="s">
        <v>57</v>
      </c>
      <c r="H13" s="52" t="s">
        <v>58</v>
      </c>
      <c r="I13" s="58" t="s">
        <v>47</v>
      </c>
      <c r="J13" s="59">
        <v>95</v>
      </c>
      <c r="K13" s="59">
        <v>5069.3</v>
      </c>
      <c r="L13" s="71">
        <v>1</v>
      </c>
      <c r="M13" s="72">
        <v>513.5</v>
      </c>
      <c r="N13" s="71">
        <v>558.5</v>
      </c>
      <c r="O13" s="62">
        <v>1.51</v>
      </c>
      <c r="P13" s="62">
        <f t="shared" si="0"/>
        <v>7654.643</v>
      </c>
      <c r="Q13" s="62" t="s">
        <v>48</v>
      </c>
      <c r="R13" s="63" t="s">
        <v>49</v>
      </c>
      <c r="S13" s="64" t="s">
        <v>59</v>
      </c>
      <c r="T13" s="63"/>
      <c r="U13" s="65"/>
      <c r="V13" s="66"/>
      <c r="W13" s="67"/>
      <c r="X13" s="67"/>
      <c r="Z13" s="67"/>
    </row>
    <row r="14" s="4" customFormat="1" ht="45" customHeight="1" spans="1:26">
      <c r="A14" s="52" t="s">
        <v>53</v>
      </c>
      <c r="B14" s="53" t="s">
        <v>54</v>
      </c>
      <c r="C14" s="53" t="s">
        <v>42</v>
      </c>
      <c r="D14" s="54" t="s">
        <v>55</v>
      </c>
      <c r="E14" s="55">
        <v>45988</v>
      </c>
      <c r="F14" s="56" t="s">
        <v>56</v>
      </c>
      <c r="G14" s="57" t="s">
        <v>57</v>
      </c>
      <c r="H14" s="52" t="s">
        <v>58</v>
      </c>
      <c r="I14" s="58" t="s">
        <v>47</v>
      </c>
      <c r="J14" s="59">
        <v>180</v>
      </c>
      <c r="K14" s="59">
        <v>10117.6</v>
      </c>
      <c r="L14" s="71">
        <v>1</v>
      </c>
      <c r="M14" s="72">
        <v>1038.5</v>
      </c>
      <c r="N14" s="71">
        <v>1083.5</v>
      </c>
      <c r="O14" s="62">
        <v>1.51</v>
      </c>
      <c r="P14" s="62">
        <f t="shared" si="0"/>
        <v>15277.576</v>
      </c>
      <c r="Q14" s="62" t="s">
        <v>48</v>
      </c>
      <c r="R14" s="63" t="s">
        <v>60</v>
      </c>
      <c r="S14" s="64" t="s">
        <v>61</v>
      </c>
      <c r="T14" s="63"/>
      <c r="U14" s="65"/>
      <c r="V14" s="66"/>
      <c r="W14" s="67"/>
      <c r="X14" s="67"/>
      <c r="Z14" s="67"/>
    </row>
    <row r="15" s="4" customFormat="1" ht="45" customHeight="1" spans="1:26">
      <c r="A15" s="52" t="s">
        <v>53</v>
      </c>
      <c r="B15" s="53" t="s">
        <v>54</v>
      </c>
      <c r="C15" s="53" t="s">
        <v>42</v>
      </c>
      <c r="D15" s="54" t="s">
        <v>55</v>
      </c>
      <c r="E15" s="55">
        <v>45988</v>
      </c>
      <c r="F15" s="56" t="s">
        <v>56</v>
      </c>
      <c r="G15" s="57" t="s">
        <v>57</v>
      </c>
      <c r="H15" s="52" t="s">
        <v>58</v>
      </c>
      <c r="I15" s="58" t="s">
        <v>47</v>
      </c>
      <c r="J15" s="59">
        <v>180</v>
      </c>
      <c r="K15" s="59">
        <v>10153.5</v>
      </c>
      <c r="L15" s="71">
        <v>1</v>
      </c>
      <c r="M15" s="72">
        <v>1021.5</v>
      </c>
      <c r="N15" s="71">
        <v>1066.5</v>
      </c>
      <c r="O15" s="62">
        <v>1.51</v>
      </c>
      <c r="P15" s="62">
        <f t="shared" si="0"/>
        <v>15331.785</v>
      </c>
      <c r="Q15" s="62" t="s">
        <v>48</v>
      </c>
      <c r="R15" s="63" t="s">
        <v>62</v>
      </c>
      <c r="S15" s="64" t="s">
        <v>63</v>
      </c>
      <c r="T15" s="63"/>
      <c r="U15" s="65"/>
      <c r="V15" s="66"/>
      <c r="W15" s="67"/>
      <c r="X15" s="67"/>
      <c r="Z15" s="67"/>
    </row>
    <row r="16" s="4" customFormat="1" ht="45" customHeight="1" spans="1:26">
      <c r="A16" s="52" t="s">
        <v>64</v>
      </c>
      <c r="B16" s="53" t="s">
        <v>65</v>
      </c>
      <c r="C16" s="53" t="s">
        <v>66</v>
      </c>
      <c r="D16" s="54" t="s">
        <v>67</v>
      </c>
      <c r="E16" s="55">
        <v>45986</v>
      </c>
      <c r="F16" s="56" t="s">
        <v>68</v>
      </c>
      <c r="G16" s="57" t="s">
        <v>57</v>
      </c>
      <c r="H16" s="52" t="s">
        <v>58</v>
      </c>
      <c r="I16" s="58" t="s">
        <v>47</v>
      </c>
      <c r="J16" s="59">
        <v>120</v>
      </c>
      <c r="K16" s="59">
        <v>6465</v>
      </c>
      <c r="L16" s="60">
        <v>1</v>
      </c>
      <c r="M16" s="61">
        <v>673.5</v>
      </c>
      <c r="N16" s="60">
        <v>718.5</v>
      </c>
      <c r="O16" s="62">
        <v>1.51</v>
      </c>
      <c r="P16" s="62">
        <f t="shared" si="0"/>
        <v>9762.15</v>
      </c>
      <c r="Q16" s="62" t="s">
        <v>48</v>
      </c>
      <c r="R16" s="63" t="s">
        <v>49</v>
      </c>
      <c r="S16" s="64" t="s">
        <v>69</v>
      </c>
      <c r="T16" s="63"/>
      <c r="U16" s="65"/>
      <c r="V16" s="66"/>
      <c r="W16" s="67"/>
      <c r="X16" s="67"/>
      <c r="Z16" s="67"/>
    </row>
    <row r="17" s="4" customFormat="1" ht="45" customHeight="1" spans="1:26">
      <c r="A17" s="52" t="s">
        <v>64</v>
      </c>
      <c r="B17" s="53" t="s">
        <v>65</v>
      </c>
      <c r="C17" s="53" t="s">
        <v>66</v>
      </c>
      <c r="D17" s="54" t="s">
        <v>67</v>
      </c>
      <c r="E17" s="55">
        <v>45986</v>
      </c>
      <c r="F17" s="56" t="s">
        <v>68</v>
      </c>
      <c r="G17" s="57" t="s">
        <v>57</v>
      </c>
      <c r="H17" s="52" t="s">
        <v>58</v>
      </c>
      <c r="I17" s="58" t="s">
        <v>51</v>
      </c>
      <c r="J17" s="59">
        <v>4</v>
      </c>
      <c r="K17" s="59">
        <v>154.4</v>
      </c>
      <c r="L17" s="62"/>
      <c r="M17" s="70"/>
      <c r="N17" s="62"/>
      <c r="O17" s="62">
        <v>1.36</v>
      </c>
      <c r="P17" s="62">
        <f t="shared" si="0"/>
        <v>209.984</v>
      </c>
      <c r="Q17" s="62" t="s">
        <v>48</v>
      </c>
      <c r="R17" s="63"/>
      <c r="S17" s="64" t="s">
        <v>69</v>
      </c>
      <c r="T17" s="63">
        <f>1.51*0.9</f>
        <v>1.359</v>
      </c>
      <c r="U17" s="65">
        <f t="shared" ref="U17:U22" si="1">O17-T17</f>
        <v>0.00100000000000011</v>
      </c>
      <c r="V17" s="66">
        <f>1.51*0.9</f>
        <v>1.359</v>
      </c>
      <c r="W17" s="67"/>
      <c r="X17" s="67"/>
      <c r="Z17" s="67"/>
    </row>
    <row r="18" s="4" customFormat="1" ht="45" customHeight="1" spans="1:26">
      <c r="A18" s="52" t="s">
        <v>70</v>
      </c>
      <c r="B18" s="53" t="s">
        <v>71</v>
      </c>
      <c r="C18" s="53" t="s">
        <v>66</v>
      </c>
      <c r="D18" s="54" t="s">
        <v>72</v>
      </c>
      <c r="E18" s="55">
        <v>45961</v>
      </c>
      <c r="F18" s="56" t="s">
        <v>73</v>
      </c>
      <c r="G18" s="57" t="s">
        <v>74</v>
      </c>
      <c r="H18" s="52" t="s">
        <v>75</v>
      </c>
      <c r="I18" s="58" t="s">
        <v>47</v>
      </c>
      <c r="J18" s="59">
        <v>115</v>
      </c>
      <c r="K18" s="59">
        <v>6287</v>
      </c>
      <c r="L18" s="71">
        <v>1</v>
      </c>
      <c r="M18" s="72">
        <v>690</v>
      </c>
      <c r="N18" s="71">
        <v>735</v>
      </c>
      <c r="O18" s="62">
        <v>1.38</v>
      </c>
      <c r="P18" s="62">
        <f t="shared" si="0"/>
        <v>8676.06</v>
      </c>
      <c r="Q18" s="62" t="s">
        <v>48</v>
      </c>
      <c r="R18" s="63" t="s">
        <v>76</v>
      </c>
      <c r="S18" s="64" t="s">
        <v>77</v>
      </c>
      <c r="T18" s="63"/>
      <c r="U18" s="65"/>
      <c r="V18" s="66"/>
      <c r="W18" s="67"/>
      <c r="X18" s="67"/>
      <c r="Z18" s="67"/>
    </row>
    <row r="19" s="4" customFormat="1" ht="45" customHeight="1" spans="1:26">
      <c r="A19" s="52" t="s">
        <v>70</v>
      </c>
      <c r="B19" s="53" t="s">
        <v>71</v>
      </c>
      <c r="C19" s="53" t="s">
        <v>66</v>
      </c>
      <c r="D19" s="54" t="s">
        <v>72</v>
      </c>
      <c r="E19" s="55">
        <v>45961</v>
      </c>
      <c r="F19" s="56" t="s">
        <v>73</v>
      </c>
      <c r="G19" s="57" t="s">
        <v>74</v>
      </c>
      <c r="H19" s="52" t="s">
        <v>75</v>
      </c>
      <c r="I19" s="58" t="s">
        <v>47</v>
      </c>
      <c r="J19" s="59">
        <v>102</v>
      </c>
      <c r="K19" s="59">
        <v>5484.1</v>
      </c>
      <c r="L19" s="60">
        <v>1</v>
      </c>
      <c r="M19" s="61">
        <v>684.5</v>
      </c>
      <c r="N19" s="60">
        <v>729.5</v>
      </c>
      <c r="O19" s="62">
        <v>1.38</v>
      </c>
      <c r="P19" s="62">
        <f t="shared" si="0"/>
        <v>7568.058</v>
      </c>
      <c r="Q19" s="62" t="s">
        <v>48</v>
      </c>
      <c r="R19" s="63" t="s">
        <v>78</v>
      </c>
      <c r="S19" s="64" t="s">
        <v>79</v>
      </c>
      <c r="T19" s="63"/>
      <c r="U19" s="65"/>
      <c r="V19" s="66"/>
      <c r="W19" s="67"/>
      <c r="X19" s="67"/>
      <c r="Z19" s="67"/>
    </row>
    <row r="20" s="4" customFormat="1" ht="45" customHeight="1" spans="1:26">
      <c r="A20" s="52" t="s">
        <v>70</v>
      </c>
      <c r="B20" s="53" t="s">
        <v>71</v>
      </c>
      <c r="C20" s="53" t="s">
        <v>66</v>
      </c>
      <c r="D20" s="54" t="s">
        <v>72</v>
      </c>
      <c r="E20" s="55">
        <v>45961</v>
      </c>
      <c r="F20" s="56" t="s">
        <v>73</v>
      </c>
      <c r="G20" s="57" t="s">
        <v>74</v>
      </c>
      <c r="H20" s="52" t="s">
        <v>75</v>
      </c>
      <c r="I20" s="58" t="s">
        <v>51</v>
      </c>
      <c r="J20" s="59">
        <v>19</v>
      </c>
      <c r="K20" s="59">
        <v>755.6</v>
      </c>
      <c r="L20" s="62"/>
      <c r="M20" s="70"/>
      <c r="N20" s="62"/>
      <c r="O20" s="62">
        <v>1.24</v>
      </c>
      <c r="P20" s="62">
        <f t="shared" si="0"/>
        <v>936.944</v>
      </c>
      <c r="Q20" s="62" t="s">
        <v>48</v>
      </c>
      <c r="R20" s="63"/>
      <c r="S20" s="64" t="s">
        <v>79</v>
      </c>
      <c r="T20" s="63">
        <f t="shared" ref="T20:T25" si="2">1.38*0.9</f>
        <v>1.242</v>
      </c>
      <c r="U20" s="65">
        <f t="shared" si="1"/>
        <v>-0.002</v>
      </c>
      <c r="V20" s="66">
        <f t="shared" ref="V20:V25" si="3">1.38*0.9</f>
        <v>1.242</v>
      </c>
      <c r="W20" s="67"/>
      <c r="X20" s="67"/>
      <c r="Z20" s="67"/>
    </row>
    <row r="21" s="4" customFormat="1" ht="45" customHeight="1" spans="1:26">
      <c r="A21" s="52" t="s">
        <v>80</v>
      </c>
      <c r="B21" s="53" t="s">
        <v>81</v>
      </c>
      <c r="C21" s="53" t="s">
        <v>66</v>
      </c>
      <c r="D21" s="54" t="s">
        <v>82</v>
      </c>
      <c r="E21" s="55">
        <v>45982</v>
      </c>
      <c r="F21" s="56" t="s">
        <v>83</v>
      </c>
      <c r="G21" s="57" t="s">
        <v>74</v>
      </c>
      <c r="H21" s="52" t="s">
        <v>75</v>
      </c>
      <c r="I21" s="58" t="s">
        <v>47</v>
      </c>
      <c r="J21" s="59">
        <v>97</v>
      </c>
      <c r="K21" s="59">
        <v>5452.5</v>
      </c>
      <c r="L21" s="60">
        <v>1</v>
      </c>
      <c r="M21" s="61">
        <v>581</v>
      </c>
      <c r="N21" s="60">
        <v>626</v>
      </c>
      <c r="O21" s="62">
        <v>1.38</v>
      </c>
      <c r="P21" s="62">
        <f t="shared" si="0"/>
        <v>7524.45</v>
      </c>
      <c r="Q21" s="62" t="s">
        <v>48</v>
      </c>
      <c r="R21" s="63" t="s">
        <v>49</v>
      </c>
      <c r="S21" s="64" t="s">
        <v>84</v>
      </c>
      <c r="T21" s="63"/>
      <c r="U21" s="65"/>
      <c r="V21" s="66"/>
      <c r="W21" s="67"/>
      <c r="X21" s="67"/>
      <c r="Z21" s="67"/>
    </row>
    <row r="22" s="4" customFormat="1" ht="45" customHeight="1" spans="1:26">
      <c r="A22" s="52" t="s">
        <v>80</v>
      </c>
      <c r="B22" s="53" t="s">
        <v>81</v>
      </c>
      <c r="C22" s="53" t="s">
        <v>66</v>
      </c>
      <c r="D22" s="54" t="s">
        <v>82</v>
      </c>
      <c r="E22" s="55">
        <v>45982</v>
      </c>
      <c r="F22" s="56" t="s">
        <v>83</v>
      </c>
      <c r="G22" s="57" t="s">
        <v>74</v>
      </c>
      <c r="H22" s="52" t="s">
        <v>75</v>
      </c>
      <c r="I22" s="58" t="s">
        <v>51</v>
      </c>
      <c r="J22" s="59">
        <v>2</v>
      </c>
      <c r="K22" s="59">
        <v>79</v>
      </c>
      <c r="L22" s="62"/>
      <c r="M22" s="70"/>
      <c r="N22" s="62"/>
      <c r="O22" s="62">
        <v>1.24</v>
      </c>
      <c r="P22" s="62">
        <f t="shared" si="0"/>
        <v>97.96</v>
      </c>
      <c r="Q22" s="62" t="s">
        <v>48</v>
      </c>
      <c r="R22" s="63"/>
      <c r="S22" s="64" t="s">
        <v>84</v>
      </c>
      <c r="T22" s="63">
        <f t="shared" si="2"/>
        <v>1.242</v>
      </c>
      <c r="U22" s="65">
        <f t="shared" si="1"/>
        <v>-0.002</v>
      </c>
      <c r="V22" s="66">
        <f t="shared" si="3"/>
        <v>1.242</v>
      </c>
      <c r="W22" s="67"/>
      <c r="X22" s="67"/>
      <c r="Z22" s="67"/>
    </row>
    <row r="23" s="4" customFormat="1" ht="45" customHeight="1" spans="1:26">
      <c r="A23" s="52" t="s">
        <v>85</v>
      </c>
      <c r="B23" s="53" t="s">
        <v>86</v>
      </c>
      <c r="C23" s="53" t="s">
        <v>66</v>
      </c>
      <c r="D23" s="54" t="s">
        <v>87</v>
      </c>
      <c r="E23" s="55">
        <v>45951</v>
      </c>
      <c r="F23" s="56" t="s">
        <v>88</v>
      </c>
      <c r="G23" s="57" t="s">
        <v>89</v>
      </c>
      <c r="H23" s="52" t="s">
        <v>90</v>
      </c>
      <c r="I23" s="58" t="s">
        <v>47</v>
      </c>
      <c r="J23" s="59">
        <v>180</v>
      </c>
      <c r="K23" s="59">
        <v>10055.4</v>
      </c>
      <c r="L23" s="71">
        <v>1</v>
      </c>
      <c r="M23" s="72">
        <v>1108</v>
      </c>
      <c r="N23" s="71">
        <v>1153</v>
      </c>
      <c r="O23" s="62">
        <v>1.38</v>
      </c>
      <c r="P23" s="62">
        <f t="shared" si="0"/>
        <v>13876.452</v>
      </c>
      <c r="Q23" s="62" t="s">
        <v>48</v>
      </c>
      <c r="R23" s="63" t="s">
        <v>91</v>
      </c>
      <c r="S23" s="64" t="s">
        <v>92</v>
      </c>
      <c r="T23" s="63"/>
      <c r="U23" s="65"/>
      <c r="V23" s="66"/>
      <c r="W23" s="67"/>
      <c r="X23" s="67"/>
      <c r="Z23" s="67"/>
    </row>
    <row r="24" s="4" customFormat="1" ht="45" customHeight="1" spans="1:26">
      <c r="A24" s="52" t="s">
        <v>85</v>
      </c>
      <c r="B24" s="53" t="s">
        <v>86</v>
      </c>
      <c r="C24" s="53" t="s">
        <v>66</v>
      </c>
      <c r="D24" s="54" t="s">
        <v>87</v>
      </c>
      <c r="E24" s="55">
        <v>45953</v>
      </c>
      <c r="F24" s="56" t="s">
        <v>88</v>
      </c>
      <c r="G24" s="57" t="s">
        <v>89</v>
      </c>
      <c r="H24" s="52" t="s">
        <v>90</v>
      </c>
      <c r="I24" s="58" t="s">
        <v>47</v>
      </c>
      <c r="J24" s="59">
        <v>94</v>
      </c>
      <c r="K24" s="59">
        <v>5338.6</v>
      </c>
      <c r="L24" s="60">
        <v>1</v>
      </c>
      <c r="M24" s="61">
        <v>593</v>
      </c>
      <c r="N24" s="60">
        <v>638</v>
      </c>
      <c r="O24" s="62">
        <v>1.38</v>
      </c>
      <c r="P24" s="62">
        <f t="shared" si="0"/>
        <v>7367.268</v>
      </c>
      <c r="Q24" s="62" t="s">
        <v>48</v>
      </c>
      <c r="R24" s="63" t="s">
        <v>49</v>
      </c>
      <c r="S24" s="64" t="s">
        <v>93</v>
      </c>
      <c r="T24" s="63"/>
      <c r="U24" s="65"/>
      <c r="V24" s="66"/>
      <c r="W24" s="67"/>
      <c r="X24" s="67"/>
      <c r="Z24" s="67"/>
    </row>
    <row r="25" s="4" customFormat="1" ht="45" customHeight="1" spans="1:26">
      <c r="A25" s="52" t="s">
        <v>85</v>
      </c>
      <c r="B25" s="53" t="s">
        <v>86</v>
      </c>
      <c r="C25" s="53" t="s">
        <v>66</v>
      </c>
      <c r="D25" s="54" t="s">
        <v>87</v>
      </c>
      <c r="E25" s="55">
        <v>45953</v>
      </c>
      <c r="F25" s="56" t="s">
        <v>88</v>
      </c>
      <c r="G25" s="57" t="s">
        <v>89</v>
      </c>
      <c r="H25" s="52" t="s">
        <v>90</v>
      </c>
      <c r="I25" s="58" t="s">
        <v>51</v>
      </c>
      <c r="J25" s="59">
        <v>1</v>
      </c>
      <c r="K25" s="59">
        <v>39.4</v>
      </c>
      <c r="L25" s="62"/>
      <c r="M25" s="70"/>
      <c r="N25" s="62"/>
      <c r="O25" s="62">
        <v>1.24</v>
      </c>
      <c r="P25" s="62">
        <f t="shared" si="0"/>
        <v>48.856</v>
      </c>
      <c r="Q25" s="62" t="s">
        <v>48</v>
      </c>
      <c r="R25" s="63"/>
      <c r="S25" s="64" t="s">
        <v>93</v>
      </c>
      <c r="T25" s="63">
        <f t="shared" si="2"/>
        <v>1.242</v>
      </c>
      <c r="U25" s="65">
        <f t="shared" ref="U25:U29" si="4">O25-T25</f>
        <v>-0.002</v>
      </c>
      <c r="V25" s="66">
        <f t="shared" si="3"/>
        <v>1.242</v>
      </c>
      <c r="W25" s="67"/>
      <c r="X25" s="67"/>
      <c r="Z25" s="67"/>
    </row>
    <row r="26" s="4" customFormat="1" ht="45" customHeight="1" spans="1:26">
      <c r="A26" s="52" t="s">
        <v>94</v>
      </c>
      <c r="B26" s="53" t="s">
        <v>95</v>
      </c>
      <c r="C26" s="53" t="s">
        <v>96</v>
      </c>
      <c r="D26" s="54" t="s">
        <v>97</v>
      </c>
      <c r="E26" s="55">
        <v>45943</v>
      </c>
      <c r="F26" s="56" t="s">
        <v>98</v>
      </c>
      <c r="G26" s="57" t="s">
        <v>99</v>
      </c>
      <c r="H26" s="52" t="s">
        <v>100</v>
      </c>
      <c r="I26" s="58" t="s">
        <v>47</v>
      </c>
      <c r="J26" s="59">
        <v>135</v>
      </c>
      <c r="K26" s="59">
        <v>7557.7</v>
      </c>
      <c r="L26" s="60">
        <v>1</v>
      </c>
      <c r="M26" s="61">
        <v>813</v>
      </c>
      <c r="N26" s="60">
        <v>858</v>
      </c>
      <c r="O26" s="62">
        <v>1.38</v>
      </c>
      <c r="P26" s="62">
        <f t="shared" si="0"/>
        <v>10429.626</v>
      </c>
      <c r="Q26" s="62" t="s">
        <v>48</v>
      </c>
      <c r="R26" s="63" t="s">
        <v>101</v>
      </c>
      <c r="S26" s="64" t="s">
        <v>102</v>
      </c>
      <c r="T26" s="63"/>
      <c r="U26" s="65"/>
      <c r="V26" s="66"/>
      <c r="W26" s="67"/>
      <c r="X26" s="67"/>
      <c r="Z26" s="67"/>
    </row>
    <row r="27" s="4" customFormat="1" ht="45" customHeight="1" spans="1:26">
      <c r="A27" s="52" t="s">
        <v>94</v>
      </c>
      <c r="B27" s="53" t="s">
        <v>95</v>
      </c>
      <c r="C27" s="53" t="s">
        <v>96</v>
      </c>
      <c r="D27" s="54" t="s">
        <v>97</v>
      </c>
      <c r="E27" s="55">
        <v>45943</v>
      </c>
      <c r="F27" s="56" t="s">
        <v>98</v>
      </c>
      <c r="G27" s="57" t="s">
        <v>99</v>
      </c>
      <c r="H27" s="52" t="s">
        <v>100</v>
      </c>
      <c r="I27" s="58" t="s">
        <v>51</v>
      </c>
      <c r="J27" s="59">
        <v>7</v>
      </c>
      <c r="K27" s="59">
        <v>280.7</v>
      </c>
      <c r="L27" s="62"/>
      <c r="M27" s="70"/>
      <c r="N27" s="62"/>
      <c r="O27" s="62">
        <v>1.24</v>
      </c>
      <c r="P27" s="62">
        <f t="shared" si="0"/>
        <v>348.068</v>
      </c>
      <c r="Q27" s="62" t="s">
        <v>48</v>
      </c>
      <c r="R27" s="63"/>
      <c r="S27" s="64" t="s">
        <v>102</v>
      </c>
      <c r="T27" s="63">
        <f t="shared" ref="T27:T31" si="5">1.38*0.9</f>
        <v>1.242</v>
      </c>
      <c r="U27" s="65">
        <f t="shared" si="4"/>
        <v>-0.002</v>
      </c>
      <c r="V27" s="66">
        <f t="shared" ref="V27:V31" si="6">1.38*0.9</f>
        <v>1.242</v>
      </c>
      <c r="W27" s="67"/>
      <c r="X27" s="67"/>
      <c r="Z27" s="67"/>
    </row>
    <row r="28" s="4" customFormat="1" ht="45" customHeight="1" spans="1:26">
      <c r="A28" s="52" t="s">
        <v>94</v>
      </c>
      <c r="B28" s="53" t="s">
        <v>95</v>
      </c>
      <c r="C28" s="53" t="s">
        <v>96</v>
      </c>
      <c r="D28" s="54" t="s">
        <v>97</v>
      </c>
      <c r="E28" s="55">
        <v>45943</v>
      </c>
      <c r="F28" s="56" t="s">
        <v>98</v>
      </c>
      <c r="G28" s="57" t="s">
        <v>99</v>
      </c>
      <c r="H28" s="52" t="s">
        <v>100</v>
      </c>
      <c r="I28" s="58" t="s">
        <v>47</v>
      </c>
      <c r="J28" s="59">
        <v>123</v>
      </c>
      <c r="K28" s="59">
        <v>6730.7</v>
      </c>
      <c r="L28" s="60">
        <v>1</v>
      </c>
      <c r="M28" s="61">
        <v>707.5</v>
      </c>
      <c r="N28" s="60">
        <v>752.5</v>
      </c>
      <c r="O28" s="62">
        <v>1.38</v>
      </c>
      <c r="P28" s="62">
        <f t="shared" si="0"/>
        <v>9288.366</v>
      </c>
      <c r="Q28" s="62" t="s">
        <v>48</v>
      </c>
      <c r="R28" s="63" t="s">
        <v>103</v>
      </c>
      <c r="S28" s="64" t="s">
        <v>104</v>
      </c>
      <c r="T28" s="63"/>
      <c r="U28" s="65"/>
      <c r="V28" s="66"/>
      <c r="W28" s="67"/>
      <c r="X28" s="67"/>
      <c r="Z28" s="67"/>
    </row>
    <row r="29" s="4" customFormat="1" ht="45" customHeight="1" spans="1:26">
      <c r="A29" s="52" t="s">
        <v>94</v>
      </c>
      <c r="B29" s="53" t="s">
        <v>95</v>
      </c>
      <c r="C29" s="53" t="s">
        <v>96</v>
      </c>
      <c r="D29" s="54" t="s">
        <v>97</v>
      </c>
      <c r="E29" s="55">
        <v>45943</v>
      </c>
      <c r="F29" s="56" t="s">
        <v>98</v>
      </c>
      <c r="G29" s="57" t="s">
        <v>99</v>
      </c>
      <c r="H29" s="52" t="s">
        <v>100</v>
      </c>
      <c r="I29" s="58" t="s">
        <v>51</v>
      </c>
      <c r="J29" s="59">
        <v>3</v>
      </c>
      <c r="K29" s="59">
        <v>121.9</v>
      </c>
      <c r="L29" s="62"/>
      <c r="M29" s="70"/>
      <c r="N29" s="62"/>
      <c r="O29" s="62">
        <v>1.24</v>
      </c>
      <c r="P29" s="62">
        <f t="shared" si="0"/>
        <v>151.156</v>
      </c>
      <c r="Q29" s="62" t="s">
        <v>48</v>
      </c>
      <c r="R29" s="63"/>
      <c r="S29" s="64" t="s">
        <v>104</v>
      </c>
      <c r="T29" s="63">
        <f t="shared" si="5"/>
        <v>1.242</v>
      </c>
      <c r="U29" s="65">
        <f t="shared" si="4"/>
        <v>-0.002</v>
      </c>
      <c r="V29" s="66">
        <f t="shared" si="6"/>
        <v>1.242</v>
      </c>
      <c r="W29" s="67"/>
      <c r="X29" s="67"/>
      <c r="Z29" s="67"/>
    </row>
    <row r="30" s="4" customFormat="1" ht="45" customHeight="1" spans="1:26">
      <c r="A30" s="52" t="s">
        <v>105</v>
      </c>
      <c r="B30" s="53" t="s">
        <v>95</v>
      </c>
      <c r="C30" s="53" t="s">
        <v>96</v>
      </c>
      <c r="D30" s="54" t="s">
        <v>97</v>
      </c>
      <c r="E30" s="55">
        <v>45980</v>
      </c>
      <c r="F30" s="56" t="s">
        <v>106</v>
      </c>
      <c r="G30" s="57" t="s">
        <v>99</v>
      </c>
      <c r="H30" s="52" t="s">
        <v>100</v>
      </c>
      <c r="I30" s="58" t="s">
        <v>47</v>
      </c>
      <c r="J30" s="59">
        <v>68</v>
      </c>
      <c r="K30" s="59">
        <v>3846.3</v>
      </c>
      <c r="L30" s="60">
        <v>1</v>
      </c>
      <c r="M30" s="61">
        <v>449</v>
      </c>
      <c r="N30" s="60">
        <v>494</v>
      </c>
      <c r="O30" s="62">
        <v>1.38</v>
      </c>
      <c r="P30" s="62">
        <f t="shared" si="0"/>
        <v>5307.894</v>
      </c>
      <c r="Q30" s="62" t="s">
        <v>48</v>
      </c>
      <c r="R30" s="63" t="s">
        <v>107</v>
      </c>
      <c r="S30" s="64" t="s">
        <v>108</v>
      </c>
      <c r="T30" s="63"/>
      <c r="U30" s="65"/>
      <c r="V30" s="66"/>
      <c r="W30" s="67"/>
      <c r="X30" s="67"/>
      <c r="Z30" s="67"/>
    </row>
    <row r="31" s="4" customFormat="1" ht="45" customHeight="1" spans="1:26">
      <c r="A31" s="52" t="s">
        <v>105</v>
      </c>
      <c r="B31" s="53" t="s">
        <v>95</v>
      </c>
      <c r="C31" s="53" t="s">
        <v>96</v>
      </c>
      <c r="D31" s="54" t="s">
        <v>97</v>
      </c>
      <c r="E31" s="55">
        <v>45980</v>
      </c>
      <c r="F31" s="56" t="s">
        <v>106</v>
      </c>
      <c r="G31" s="57" t="s">
        <v>99</v>
      </c>
      <c r="H31" s="52" t="s">
        <v>100</v>
      </c>
      <c r="I31" s="58" t="s">
        <v>51</v>
      </c>
      <c r="J31" s="59">
        <v>3</v>
      </c>
      <c r="K31" s="59">
        <v>120.1</v>
      </c>
      <c r="L31" s="62"/>
      <c r="M31" s="70"/>
      <c r="N31" s="62"/>
      <c r="O31" s="62">
        <v>1.24</v>
      </c>
      <c r="P31" s="62">
        <f t="shared" si="0"/>
        <v>148.924</v>
      </c>
      <c r="Q31" s="62" t="s">
        <v>48</v>
      </c>
      <c r="R31" s="63"/>
      <c r="S31" s="64" t="s">
        <v>108</v>
      </c>
      <c r="T31" s="63">
        <f t="shared" si="5"/>
        <v>1.242</v>
      </c>
      <c r="U31" s="65">
        <f t="shared" ref="U31:U36" si="7">O31-T31</f>
        <v>-0.002</v>
      </c>
      <c r="V31" s="66">
        <f t="shared" si="6"/>
        <v>1.242</v>
      </c>
      <c r="W31" s="67"/>
      <c r="X31" s="67"/>
      <c r="Z31" s="67"/>
    </row>
    <row r="32" s="4" customFormat="1" ht="45" customHeight="1" spans="1:26">
      <c r="A32" s="52" t="s">
        <v>109</v>
      </c>
      <c r="B32" s="53" t="s">
        <v>110</v>
      </c>
      <c r="C32" s="53" t="s">
        <v>66</v>
      </c>
      <c r="D32" s="54" t="s">
        <v>111</v>
      </c>
      <c r="E32" s="55">
        <v>45975</v>
      </c>
      <c r="F32" s="56" t="s">
        <v>112</v>
      </c>
      <c r="G32" s="57" t="s">
        <v>113</v>
      </c>
      <c r="H32" s="52" t="s">
        <v>114</v>
      </c>
      <c r="I32" s="58" t="s">
        <v>47</v>
      </c>
      <c r="J32" s="59">
        <v>125</v>
      </c>
      <c r="K32" s="59">
        <v>6134.9</v>
      </c>
      <c r="L32" s="71">
        <v>1</v>
      </c>
      <c r="M32" s="72">
        <v>535</v>
      </c>
      <c r="N32" s="71">
        <v>580</v>
      </c>
      <c r="O32" s="62">
        <v>1.52</v>
      </c>
      <c r="P32" s="62">
        <f t="shared" si="0"/>
        <v>9325.048</v>
      </c>
      <c r="Q32" s="62" t="s">
        <v>48</v>
      </c>
      <c r="R32" s="63" t="s">
        <v>115</v>
      </c>
      <c r="S32" s="64" t="s">
        <v>116</v>
      </c>
      <c r="T32" s="63"/>
      <c r="U32" s="65"/>
      <c r="V32" s="66"/>
      <c r="W32" s="67"/>
      <c r="X32" s="67"/>
      <c r="Z32" s="67"/>
    </row>
    <row r="33" s="4" customFormat="1" ht="45" customHeight="1" spans="1:26">
      <c r="A33" s="52" t="s">
        <v>109</v>
      </c>
      <c r="B33" s="53" t="s">
        <v>117</v>
      </c>
      <c r="C33" s="53" t="s">
        <v>66</v>
      </c>
      <c r="D33" s="54" t="s">
        <v>118</v>
      </c>
      <c r="E33" s="55">
        <v>45977</v>
      </c>
      <c r="F33" s="56" t="s">
        <v>112</v>
      </c>
      <c r="G33" s="57" t="s">
        <v>113</v>
      </c>
      <c r="H33" s="52" t="s">
        <v>114</v>
      </c>
      <c r="I33" s="58" t="s">
        <v>47</v>
      </c>
      <c r="J33" s="59">
        <v>88</v>
      </c>
      <c r="K33" s="59">
        <v>4252.7</v>
      </c>
      <c r="L33" s="60">
        <v>1</v>
      </c>
      <c r="M33" s="61">
        <v>470</v>
      </c>
      <c r="N33" s="60">
        <v>515</v>
      </c>
      <c r="O33" s="62">
        <v>1.52</v>
      </c>
      <c r="P33" s="62">
        <f t="shared" si="0"/>
        <v>6464.104</v>
      </c>
      <c r="Q33" s="62" t="s">
        <v>48</v>
      </c>
      <c r="R33" s="63" t="s">
        <v>119</v>
      </c>
      <c r="S33" s="64" t="s">
        <v>120</v>
      </c>
      <c r="T33" s="63"/>
      <c r="U33" s="65"/>
      <c r="V33" s="66"/>
      <c r="W33" s="67"/>
      <c r="X33" s="67"/>
      <c r="Z33" s="67"/>
    </row>
    <row r="34" s="4" customFormat="1" ht="45" customHeight="1" spans="1:26">
      <c r="A34" s="52" t="s">
        <v>109</v>
      </c>
      <c r="B34" s="53" t="s">
        <v>117</v>
      </c>
      <c r="C34" s="53" t="s">
        <v>66</v>
      </c>
      <c r="D34" s="54" t="s">
        <v>118</v>
      </c>
      <c r="E34" s="55">
        <v>45977</v>
      </c>
      <c r="F34" s="56" t="s">
        <v>112</v>
      </c>
      <c r="G34" s="57" t="s">
        <v>113</v>
      </c>
      <c r="H34" s="52" t="s">
        <v>114</v>
      </c>
      <c r="I34" s="58" t="s">
        <v>51</v>
      </c>
      <c r="J34" s="59">
        <v>30</v>
      </c>
      <c r="K34" s="59">
        <v>1191</v>
      </c>
      <c r="L34" s="62"/>
      <c r="M34" s="70"/>
      <c r="N34" s="62"/>
      <c r="O34" s="62">
        <v>1.37</v>
      </c>
      <c r="P34" s="62">
        <f t="shared" si="0"/>
        <v>1631.67</v>
      </c>
      <c r="Q34" s="62" t="s">
        <v>48</v>
      </c>
      <c r="R34" s="63"/>
      <c r="S34" s="64" t="s">
        <v>120</v>
      </c>
      <c r="T34" s="63">
        <f>1.52*0.9</f>
        <v>1.368</v>
      </c>
      <c r="U34" s="65">
        <f t="shared" si="7"/>
        <v>0.002</v>
      </c>
      <c r="V34" s="66">
        <f>1.52*0.9</f>
        <v>1.368</v>
      </c>
      <c r="W34" s="67"/>
      <c r="X34" s="67"/>
      <c r="Z34" s="67"/>
    </row>
    <row r="35" s="4" customFormat="1" ht="45" customHeight="1" spans="1:26">
      <c r="A35" s="52" t="s">
        <v>80</v>
      </c>
      <c r="B35" s="53">
        <v>9000845799</v>
      </c>
      <c r="C35" s="53">
        <v>80</v>
      </c>
      <c r="D35" s="54"/>
      <c r="E35" s="55">
        <v>45983</v>
      </c>
      <c r="F35" s="56" t="s">
        <v>121</v>
      </c>
      <c r="G35" s="57" t="s">
        <v>122</v>
      </c>
      <c r="H35" s="52" t="s">
        <v>123</v>
      </c>
      <c r="I35" s="58" t="s">
        <v>47</v>
      </c>
      <c r="J35" s="59">
        <v>90</v>
      </c>
      <c r="K35" s="59">
        <v>4573.4</v>
      </c>
      <c r="L35" s="60">
        <v>1</v>
      </c>
      <c r="M35" s="61">
        <v>390</v>
      </c>
      <c r="N35" s="60">
        <v>435</v>
      </c>
      <c r="O35" s="62">
        <v>1.25</v>
      </c>
      <c r="P35" s="62">
        <f t="shared" si="0"/>
        <v>5716.75</v>
      </c>
      <c r="Q35" s="62" t="s">
        <v>48</v>
      </c>
      <c r="R35" s="63" t="s">
        <v>124</v>
      </c>
      <c r="S35" s="64" t="s">
        <v>125</v>
      </c>
      <c r="T35" s="63"/>
      <c r="U35" s="65"/>
      <c r="V35" s="66"/>
      <c r="W35" s="67"/>
      <c r="X35" s="67"/>
      <c r="Z35" s="67"/>
    </row>
    <row r="36" s="4" customFormat="1" ht="45" customHeight="1" spans="1:26">
      <c r="A36" s="52" t="s">
        <v>80</v>
      </c>
      <c r="B36" s="53">
        <v>9000845799</v>
      </c>
      <c r="C36" s="53">
        <v>80</v>
      </c>
      <c r="D36" s="54"/>
      <c r="E36" s="55">
        <v>45983</v>
      </c>
      <c r="F36" s="56" t="s">
        <v>121</v>
      </c>
      <c r="G36" s="57" t="s">
        <v>122</v>
      </c>
      <c r="H36" s="52" t="s">
        <v>123</v>
      </c>
      <c r="I36" s="58" t="s">
        <v>51</v>
      </c>
      <c r="J36" s="59">
        <v>7</v>
      </c>
      <c r="K36" s="59">
        <v>276.4</v>
      </c>
      <c r="L36" s="62"/>
      <c r="M36" s="70"/>
      <c r="N36" s="62"/>
      <c r="O36" s="62">
        <v>1.13</v>
      </c>
      <c r="P36" s="62">
        <f t="shared" si="0"/>
        <v>312.332</v>
      </c>
      <c r="Q36" s="62" t="s">
        <v>48</v>
      </c>
      <c r="R36" s="63"/>
      <c r="S36" s="64" t="s">
        <v>125</v>
      </c>
      <c r="T36" s="63">
        <f>1.25*0.9</f>
        <v>1.125</v>
      </c>
      <c r="U36" s="65">
        <f t="shared" si="7"/>
        <v>0.00499999999999989</v>
      </c>
      <c r="V36" s="66">
        <f>1.25*0.9</f>
        <v>1.125</v>
      </c>
      <c r="W36" s="67"/>
      <c r="X36" s="67"/>
      <c r="Z36" s="67"/>
    </row>
    <row r="37" s="4" customFormat="1" ht="45" customHeight="1" spans="1:26">
      <c r="A37" s="52" t="s">
        <v>126</v>
      </c>
      <c r="B37" s="53">
        <v>9000845799</v>
      </c>
      <c r="C37" s="53">
        <v>100</v>
      </c>
      <c r="D37" s="54"/>
      <c r="E37" s="55">
        <v>45811</v>
      </c>
      <c r="F37" s="56" t="s">
        <v>127</v>
      </c>
      <c r="G37" s="57" t="s">
        <v>128</v>
      </c>
      <c r="H37" s="52" t="s">
        <v>129</v>
      </c>
      <c r="I37" s="58" t="s">
        <v>47</v>
      </c>
      <c r="J37" s="59">
        <v>103</v>
      </c>
      <c r="K37" s="59">
        <v>5458.8</v>
      </c>
      <c r="L37" s="71">
        <v>1</v>
      </c>
      <c r="M37" s="72">
        <v>438</v>
      </c>
      <c r="N37" s="71">
        <v>483</v>
      </c>
      <c r="O37" s="62">
        <v>1.27</v>
      </c>
      <c r="P37" s="62">
        <f t="shared" si="0"/>
        <v>6932.676</v>
      </c>
      <c r="Q37" s="62" t="s">
        <v>48</v>
      </c>
      <c r="R37" s="63" t="s">
        <v>130</v>
      </c>
      <c r="S37" s="64" t="s">
        <v>131</v>
      </c>
      <c r="T37" s="63"/>
      <c r="U37" s="65"/>
      <c r="V37" s="66"/>
      <c r="W37" s="67"/>
      <c r="X37" s="67"/>
      <c r="Z37" s="67"/>
    </row>
    <row r="38" s="4" customFormat="1" ht="45" customHeight="1" spans="1:26">
      <c r="A38" s="52" t="s">
        <v>53</v>
      </c>
      <c r="B38" s="53">
        <v>9000845799</v>
      </c>
      <c r="C38" s="53">
        <v>100</v>
      </c>
      <c r="D38" s="54"/>
      <c r="E38" s="55">
        <v>45988</v>
      </c>
      <c r="F38" s="56" t="s">
        <v>132</v>
      </c>
      <c r="G38" s="57" t="s">
        <v>128</v>
      </c>
      <c r="H38" s="52" t="s">
        <v>129</v>
      </c>
      <c r="I38" s="58" t="s">
        <v>47</v>
      </c>
      <c r="J38" s="59">
        <v>190</v>
      </c>
      <c r="K38" s="59">
        <v>10571.2</v>
      </c>
      <c r="L38" s="71">
        <v>1</v>
      </c>
      <c r="M38" s="72">
        <v>860.5</v>
      </c>
      <c r="N38" s="71">
        <v>905.5</v>
      </c>
      <c r="O38" s="62">
        <v>1.27</v>
      </c>
      <c r="P38" s="62">
        <f t="shared" si="0"/>
        <v>13425.424</v>
      </c>
      <c r="Q38" s="62" t="s">
        <v>48</v>
      </c>
      <c r="R38" s="63" t="s">
        <v>133</v>
      </c>
      <c r="S38" s="64" t="s">
        <v>134</v>
      </c>
      <c r="T38" s="63"/>
      <c r="U38" s="65"/>
      <c r="V38" s="66"/>
      <c r="W38" s="67"/>
      <c r="X38" s="67"/>
      <c r="Z38" s="67"/>
    </row>
    <row r="39" s="4" customFormat="1" ht="45" customHeight="1" spans="1:26">
      <c r="A39" s="52" t="s">
        <v>53</v>
      </c>
      <c r="B39" s="53">
        <v>9000845799</v>
      </c>
      <c r="C39" s="53">
        <v>100</v>
      </c>
      <c r="D39" s="54"/>
      <c r="E39" s="55">
        <v>45988</v>
      </c>
      <c r="F39" s="56" t="s">
        <v>132</v>
      </c>
      <c r="G39" s="57" t="s">
        <v>128</v>
      </c>
      <c r="H39" s="52" t="s">
        <v>129</v>
      </c>
      <c r="I39" s="58" t="s">
        <v>47</v>
      </c>
      <c r="J39" s="59">
        <v>136</v>
      </c>
      <c r="K39" s="59">
        <v>7422.2</v>
      </c>
      <c r="L39" s="71">
        <v>1</v>
      </c>
      <c r="M39" s="72">
        <v>598.5</v>
      </c>
      <c r="N39" s="71">
        <v>643.5</v>
      </c>
      <c r="O39" s="62">
        <v>1.27</v>
      </c>
      <c r="P39" s="62">
        <f t="shared" si="0"/>
        <v>9426.194</v>
      </c>
      <c r="Q39" s="62" t="s">
        <v>48</v>
      </c>
      <c r="R39" s="63" t="s">
        <v>49</v>
      </c>
      <c r="S39" s="64" t="s">
        <v>135</v>
      </c>
      <c r="T39" s="63"/>
      <c r="U39" s="65"/>
      <c r="V39" s="66"/>
      <c r="W39" s="67"/>
      <c r="X39" s="67"/>
      <c r="Z39" s="67"/>
    </row>
    <row r="40" s="4" customFormat="1" ht="45" customHeight="1" spans="1:26">
      <c r="A40" s="52" t="s">
        <v>53</v>
      </c>
      <c r="B40" s="53">
        <v>9000845799</v>
      </c>
      <c r="C40" s="53">
        <v>100</v>
      </c>
      <c r="D40" s="54"/>
      <c r="E40" s="55">
        <v>45988</v>
      </c>
      <c r="F40" s="56" t="s">
        <v>132</v>
      </c>
      <c r="G40" s="57" t="s">
        <v>128</v>
      </c>
      <c r="H40" s="52" t="s">
        <v>129</v>
      </c>
      <c r="I40" s="58" t="s">
        <v>47</v>
      </c>
      <c r="J40" s="59">
        <v>105</v>
      </c>
      <c r="K40" s="59">
        <v>5686.7</v>
      </c>
      <c r="L40" s="60">
        <v>1</v>
      </c>
      <c r="M40" s="61">
        <v>511.5</v>
      </c>
      <c r="N40" s="60">
        <v>556.5</v>
      </c>
      <c r="O40" s="62">
        <v>1.27</v>
      </c>
      <c r="P40" s="62">
        <f t="shared" si="0"/>
        <v>7222.109</v>
      </c>
      <c r="Q40" s="62" t="s">
        <v>48</v>
      </c>
      <c r="R40" s="63" t="s">
        <v>49</v>
      </c>
      <c r="S40" s="64" t="s">
        <v>136</v>
      </c>
      <c r="T40" s="63"/>
      <c r="U40" s="65"/>
      <c r="V40" s="66"/>
      <c r="W40" s="67"/>
      <c r="X40" s="67"/>
      <c r="Z40" s="67"/>
    </row>
    <row r="41" s="4" customFormat="1" ht="45" customHeight="1" spans="1:26">
      <c r="A41" s="52" t="s">
        <v>53</v>
      </c>
      <c r="B41" s="53">
        <v>9000845799</v>
      </c>
      <c r="C41" s="53">
        <v>100</v>
      </c>
      <c r="D41" s="54"/>
      <c r="E41" s="55">
        <v>45988</v>
      </c>
      <c r="F41" s="56" t="s">
        <v>132</v>
      </c>
      <c r="G41" s="57" t="s">
        <v>128</v>
      </c>
      <c r="H41" s="52" t="s">
        <v>129</v>
      </c>
      <c r="I41" s="58" t="s">
        <v>51</v>
      </c>
      <c r="J41" s="59">
        <v>14</v>
      </c>
      <c r="K41" s="59">
        <v>566.8</v>
      </c>
      <c r="L41" s="62"/>
      <c r="M41" s="70"/>
      <c r="N41" s="62"/>
      <c r="O41" s="62">
        <v>1.14</v>
      </c>
      <c r="P41" s="62">
        <f t="shared" si="0"/>
        <v>646.152</v>
      </c>
      <c r="Q41" s="62" t="s">
        <v>48</v>
      </c>
      <c r="R41" s="63"/>
      <c r="S41" s="64" t="s">
        <v>136</v>
      </c>
      <c r="T41" s="63">
        <f>1.27*0.9</f>
        <v>1.143</v>
      </c>
      <c r="U41" s="65">
        <f>O41-T41</f>
        <v>-0.00300000000000011</v>
      </c>
      <c r="V41" s="66">
        <f>1.27*0.9</f>
        <v>1.143</v>
      </c>
      <c r="W41" s="67"/>
      <c r="X41" s="67"/>
      <c r="Z41" s="67"/>
    </row>
    <row r="42" s="5" customFormat="1" ht="45" customHeight="1" spans="1:26">
      <c r="A42" s="73" t="s">
        <v>53</v>
      </c>
      <c r="B42" s="74">
        <v>9000846054</v>
      </c>
      <c r="C42" s="74">
        <v>10</v>
      </c>
      <c r="D42" s="75"/>
      <c r="E42" s="76">
        <v>45988</v>
      </c>
      <c r="F42" s="77" t="s">
        <v>132</v>
      </c>
      <c r="G42" s="78" t="s">
        <v>128</v>
      </c>
      <c r="H42" s="73" t="s">
        <v>129</v>
      </c>
      <c r="I42" s="79" t="s">
        <v>47</v>
      </c>
      <c r="J42" s="80">
        <v>40</v>
      </c>
      <c r="K42" s="80">
        <v>2097.6</v>
      </c>
      <c r="L42" s="81">
        <v>1</v>
      </c>
      <c r="M42" s="82">
        <v>173.5</v>
      </c>
      <c r="N42" s="81">
        <v>218.5</v>
      </c>
      <c r="O42" s="83">
        <v>1.27</v>
      </c>
      <c r="P42" s="83">
        <f t="shared" si="0"/>
        <v>2663.952</v>
      </c>
      <c r="Q42" s="83" t="s">
        <v>48</v>
      </c>
      <c r="R42" s="84" t="s">
        <v>137</v>
      </c>
      <c r="S42" s="85" t="s">
        <v>138</v>
      </c>
      <c r="T42" s="84"/>
      <c r="U42" s="86"/>
      <c r="V42" s="87"/>
      <c r="W42" s="88" t="s">
        <v>139</v>
      </c>
      <c r="X42" s="88"/>
      <c r="Z42" s="88"/>
    </row>
    <row r="43" s="6" customFormat="1" spans="1:26">
      <c r="J43" s="6">
        <f t="shared" ref="J43:L43" si="8">SUM(J10:J42)</f>
        <v>2576</v>
      </c>
      <c r="K43" s="6">
        <f t="shared" si="8"/>
        <v>138334.7</v>
      </c>
      <c r="L43" s="6">
        <f t="shared" si="8"/>
        <v>21</v>
      </c>
      <c r="P43" s="6">
        <f>SUM(P10:P42)</f>
        <v>191220.693</v>
      </c>
    </row>
    <row r="44" s="6" customFormat="1"/>
  </sheetData>
  <mergeCells count="36">
    <mergeCell ref="A1:D1"/>
    <mergeCell ref="A4:D4"/>
    <mergeCell ref="L10:L12"/>
    <mergeCell ref="L16:L17"/>
    <mergeCell ref="L19:L20"/>
    <mergeCell ref="L21:L22"/>
    <mergeCell ref="L24:L25"/>
    <mergeCell ref="L26:L27"/>
    <mergeCell ref="L28:L29"/>
    <mergeCell ref="L30:L31"/>
    <mergeCell ref="L33:L34"/>
    <mergeCell ref="L35:L36"/>
    <mergeCell ref="L40:L41"/>
    <mergeCell ref="M10:M12"/>
    <mergeCell ref="M16:M17"/>
    <mergeCell ref="M19:M20"/>
    <mergeCell ref="M21:M22"/>
    <mergeCell ref="M24:M25"/>
    <mergeCell ref="M26:M27"/>
    <mergeCell ref="M28:M29"/>
    <mergeCell ref="M30:M31"/>
    <mergeCell ref="M33:M34"/>
    <mergeCell ref="M35:M36"/>
    <mergeCell ref="M40:M41"/>
    <mergeCell ref="N10:N12"/>
    <mergeCell ref="N16:N17"/>
    <mergeCell ref="N19:N20"/>
    <mergeCell ref="N21:N22"/>
    <mergeCell ref="N24:N25"/>
    <mergeCell ref="N26:N27"/>
    <mergeCell ref="N28:N29"/>
    <mergeCell ref="N30:N31"/>
    <mergeCell ref="N33:N34"/>
    <mergeCell ref="N35:N36"/>
    <mergeCell ref="N40:N41"/>
    <mergeCell ref="G1:J4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ttxpg066</dc:creator>
  <cp:lastModifiedBy>每天。</cp:lastModifiedBy>
  <dcterms:created xsi:type="dcterms:W3CDTF">2025-12-02T08:06:00Z</dcterms:created>
  <dcterms:modified xsi:type="dcterms:W3CDTF">2025-12-02T08:08:04Z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67B3C6A4EB98465FA51954B278A192F3_11</vt:lpwstr>
  </property>
  <property fmtid="{D5CDD505-2E9C-101B-9397-08002B2CF9AE}" pid="3" name="KSOProductBuildVer">
    <vt:lpwstr>2052-12.1.0.23542</vt:lpwstr>
  </property>
</Properties>
</file>